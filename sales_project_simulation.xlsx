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8.xml" ContentType="application/vnd.openxmlformats-officedocument.spreadsheetml.table+xml"/>
  <Override PartName="/xl/pivotTables/pivotTable15.xml" ContentType="application/vnd.openxmlformats-officedocument.spreadsheetml.pivotTable+xml"/>
  <Override PartName="/xl/drawings/drawing2.xml" ContentType="application/vnd.openxmlformats-officedocument.drawing+xml"/>
  <Override PartName="/xl/tables/table9.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FD9E8D4-1CF8-4EE7-9DFD-FFD9B87AEBB5}" xr6:coauthVersionLast="47" xr6:coauthVersionMax="47" xr10:uidLastSave="{00000000-0000-0000-0000-000000000000}"/>
  <bookViews>
    <workbookView xWindow="-108" yWindow="-108" windowWidth="23256" windowHeight="13176" firstSheet="4" activeTab="7" xr2:uid="{00000000-000D-0000-FFFF-FFFF00000000}"/>
  </bookViews>
  <sheets>
    <sheet name="sales_raw" sheetId="1" r:id="rId1"/>
    <sheet name="targets" sheetId="4" r:id="rId2"/>
    <sheet name="products" sheetId="2" r:id="rId3"/>
    <sheet name="customers" sheetId="3" r:id="rId4"/>
    <sheet name="Data Olahan" sheetId="5" r:id="rId5"/>
    <sheet name="Data Mentah Forecast" sheetId="7" r:id="rId6"/>
    <sheet name="Forecast " sheetId="8" r:id="rId7"/>
    <sheet name="Dashboard Performa Sales" sheetId="6" r:id="rId8"/>
  </sheets>
  <definedNames>
    <definedName name="_xlcn.WorksheetConnection_sales_project_simulation.xlsxTable11" hidden="1">Table1[]</definedName>
    <definedName name="Slicer_City">#N/A</definedName>
    <definedName name="Slicer_Months__Date">#N/A</definedName>
    <definedName name="Slicer_Salesman">#N/A</definedName>
  </definedNames>
  <calcPr calcId="191029"/>
  <pivotCaches>
    <pivotCache cacheId="6" r:id="rId9"/>
    <pivotCache cacheId="28" r:id="rId10"/>
    <pivotCache cacheId="2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project_simula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8" l="1"/>
  <c r="C16" i="8"/>
  <c r="C15" i="8"/>
  <c r="C14" i="8"/>
  <c r="D17" i="8"/>
  <c r="E17" i="8"/>
  <c r="D16" i="8"/>
  <c r="E16" i="8"/>
  <c r="D15" i="8"/>
  <c r="E15" i="8"/>
  <c r="D14" i="8"/>
  <c r="E14" i="8"/>
  <c r="C2" i="7"/>
  <c r="C3" i="7"/>
  <c r="C4" i="7"/>
  <c r="C5" i="7"/>
  <c r="C6" i="7"/>
  <c r="C7" i="7"/>
  <c r="C8" i="7"/>
  <c r="C9" i="7"/>
  <c r="C10" i="7"/>
  <c r="C11" i="7"/>
  <c r="C12" i="7"/>
  <c r="C1" i="7"/>
  <c r="I198" i="5"/>
  <c r="I199" i="5"/>
  <c r="I227" i="5"/>
  <c r="I217" i="5"/>
  <c r="I232" i="5"/>
  <c r="I230" i="5"/>
  <c r="I210" i="5"/>
  <c r="I197" i="5"/>
  <c r="I213" i="5"/>
  <c r="I233" i="5"/>
  <c r="I205" i="5"/>
  <c r="I215" i="5"/>
  <c r="I231" i="5"/>
  <c r="I209" i="5"/>
  <c r="I190" i="5"/>
  <c r="I226" i="5"/>
  <c r="I220" i="5"/>
  <c r="I222" i="5"/>
  <c r="I211" i="5"/>
  <c r="I218" i="5"/>
  <c r="I216" i="5"/>
  <c r="I224" i="5"/>
  <c r="I223" i="5"/>
  <c r="I189" i="5"/>
  <c r="I194" i="5"/>
  <c r="I225" i="5"/>
  <c r="I236" i="5"/>
  <c r="I202" i="5"/>
  <c r="I196" i="5"/>
  <c r="I234" i="5"/>
  <c r="I219" i="5"/>
  <c r="I214" i="5"/>
  <c r="I195" i="5"/>
  <c r="I191" i="5"/>
  <c r="I188" i="5"/>
  <c r="I221" i="5"/>
  <c r="I203" i="5"/>
  <c r="I208" i="5"/>
  <c r="I187" i="5"/>
  <c r="I206" i="5"/>
  <c r="I235" i="5"/>
  <c r="I192" i="5"/>
  <c r="I193" i="5"/>
  <c r="I204" i="5"/>
  <c r="I212" i="5"/>
  <c r="I201" i="5"/>
  <c r="I228" i="5"/>
  <c r="I229" i="5"/>
  <c r="I207" i="5"/>
  <c r="I200" i="5"/>
  <c r="J112" i="5" a="1"/>
  <c r="J112" i="5" s="1"/>
  <c r="J129" i="5" a="1"/>
  <c r="J129" i="5" s="1"/>
  <c r="J128" i="5" a="1"/>
  <c r="J128" i="5" s="1"/>
  <c r="K128" i="5" s="1"/>
  <c r="J110" i="5" a="1"/>
  <c r="J110" i="5" s="1"/>
  <c r="K110" i="5" s="1"/>
  <c r="J85" i="5" a="1"/>
  <c r="J85" i="5" s="1"/>
  <c r="K85" i="5" s="1"/>
  <c r="J109" i="5" a="1"/>
  <c r="J109" i="5" s="1"/>
  <c r="K109" i="5" s="1"/>
  <c r="J116" i="5" a="1"/>
  <c r="J116" i="5" s="1"/>
  <c r="K116" i="5" s="1"/>
  <c r="J137" i="5" a="1"/>
  <c r="J137" i="5" s="1"/>
  <c r="K137" i="5" s="1"/>
  <c r="J123" i="5" a="1"/>
  <c r="J123" i="5" s="1"/>
  <c r="K123" i="5" s="1"/>
  <c r="J97" i="5" a="1"/>
  <c r="J97" i="5" s="1"/>
  <c r="J124" i="5" a="1"/>
  <c r="J124" i="5" s="1"/>
  <c r="K124" i="5" s="1"/>
  <c r="J111" i="5" a="1"/>
  <c r="J111" i="5" s="1"/>
  <c r="J103" i="5" a="1"/>
  <c r="J103" i="5" s="1"/>
  <c r="K103" i="5" s="1"/>
  <c r="J127" i="5" a="1"/>
  <c r="J127" i="5" s="1"/>
  <c r="J132" i="5" a="1"/>
  <c r="J132" i="5" s="1"/>
  <c r="K132" i="5" s="1"/>
  <c r="J105" i="5" a="1"/>
  <c r="J105" i="5" s="1"/>
  <c r="J87" i="5" a="1"/>
  <c r="J87" i="5" s="1"/>
  <c r="K87" i="5" s="1"/>
  <c r="J90" i="5" a="1"/>
  <c r="J90" i="5" s="1"/>
  <c r="K90" i="5" s="1"/>
  <c r="J98" i="5" a="1"/>
  <c r="J98" i="5" s="1"/>
  <c r="J101" i="5" a="1"/>
  <c r="J101" i="5" s="1"/>
  <c r="K101" i="5" s="1"/>
  <c r="J82" i="5" a="1"/>
  <c r="J82" i="5" s="1"/>
  <c r="K82" i="5" s="1"/>
  <c r="J138" i="5" a="1"/>
  <c r="J138" i="5" s="1"/>
  <c r="J118" i="5" a="1"/>
  <c r="J118" i="5" s="1"/>
  <c r="J133" i="5" a="1"/>
  <c r="J133" i="5" s="1"/>
  <c r="K133" i="5" s="1"/>
  <c r="J102" i="5" a="1"/>
  <c r="J102" i="5" s="1"/>
  <c r="K102" i="5" s="1"/>
  <c r="J94" i="5" a="1"/>
  <c r="J94" i="5" s="1"/>
  <c r="K94" i="5" s="1"/>
  <c r="J89" i="5" a="1"/>
  <c r="J89" i="5" s="1"/>
  <c r="K89" i="5" s="1"/>
  <c r="J119" i="5" a="1"/>
  <c r="J119" i="5" s="1"/>
  <c r="K119" i="5" s="1"/>
  <c r="J79" i="5" a="1"/>
  <c r="J79" i="5" s="1"/>
  <c r="K79" i="5" s="1"/>
  <c r="J134" i="5" a="1"/>
  <c r="J134" i="5" s="1"/>
  <c r="K134" i="5" s="1"/>
  <c r="J108" i="5" a="1"/>
  <c r="J108" i="5" s="1"/>
  <c r="K108" i="5" s="1"/>
  <c r="J117" i="5" a="1"/>
  <c r="J117" i="5" s="1"/>
  <c r="J81" i="5" a="1"/>
  <c r="J81" i="5" s="1"/>
  <c r="J83" i="5" a="1"/>
  <c r="J83" i="5" s="1"/>
  <c r="J121" i="5" a="1"/>
  <c r="J121" i="5" s="1"/>
  <c r="K121" i="5" s="1"/>
  <c r="J126" i="5" a="1"/>
  <c r="J126" i="5" s="1"/>
  <c r="K126" i="5" s="1"/>
  <c r="J100" i="5" a="1"/>
  <c r="J100" i="5" s="1"/>
  <c r="K100" i="5" s="1"/>
  <c r="J95" i="5" a="1"/>
  <c r="J95" i="5" s="1"/>
  <c r="J135" i="5" a="1"/>
  <c r="J135" i="5" s="1"/>
  <c r="K135" i="5" s="1"/>
  <c r="J130" i="5" a="1"/>
  <c r="J130" i="5" s="1"/>
  <c r="J125" i="5" a="1"/>
  <c r="J125" i="5" s="1"/>
  <c r="J80" i="5" a="1"/>
  <c r="J80" i="5" s="1"/>
  <c r="J84" i="5" a="1"/>
  <c r="J84" i="5" s="1"/>
  <c r="K84" i="5" s="1"/>
  <c r="J104" i="5" a="1"/>
  <c r="J104" i="5" s="1"/>
  <c r="J122" i="5" a="1"/>
  <c r="J122" i="5" s="1"/>
  <c r="K122" i="5" s="1"/>
  <c r="J115" i="5" a="1"/>
  <c r="J115" i="5" s="1"/>
  <c r="K115" i="5" s="1"/>
  <c r="J106" i="5" a="1"/>
  <c r="J106" i="5" s="1"/>
  <c r="K106" i="5" s="1"/>
  <c r="J120" i="5" a="1"/>
  <c r="J120" i="5" s="1"/>
  <c r="J99" i="5" a="1"/>
  <c r="J99" i="5" s="1"/>
  <c r="J114" i="5" a="1"/>
  <c r="J114" i="5" s="1"/>
  <c r="J96" i="5" a="1"/>
  <c r="J96" i="5" s="1"/>
  <c r="K96" i="5" s="1"/>
  <c r="J136" i="5" a="1"/>
  <c r="J136" i="5" s="1"/>
  <c r="K136" i="5" s="1"/>
  <c r="J131" i="5" a="1"/>
  <c r="J131" i="5" s="1"/>
  <c r="K131" i="5" s="1"/>
  <c r="J113" i="5" a="1"/>
  <c r="J113" i="5" s="1"/>
  <c r="K113" i="5" s="1"/>
  <c r="J91" i="5" a="1"/>
  <c r="J91" i="5" s="1"/>
  <c r="K91" i="5" s="1"/>
  <c r="J107" i="5" a="1"/>
  <c r="J107" i="5" s="1"/>
  <c r="K107" i="5" s="1"/>
  <c r="J92" i="5" a="1"/>
  <c r="J92" i="5" s="1"/>
  <c r="K92" i="5" s="1"/>
  <c r="J86" i="5" a="1"/>
  <c r="J86" i="5" s="1"/>
  <c r="J93" i="5" a="1"/>
  <c r="J93" i="5" s="1"/>
  <c r="J88" i="5" a="1"/>
  <c r="J88" i="5" s="1"/>
  <c r="K88" i="5" s="1"/>
  <c r="A34" i="6"/>
  <c r="A26" i="6"/>
  <c r="A17" i="6"/>
  <c r="A7" i="6"/>
  <c r="K111" i="5" l="1"/>
  <c r="L111" i="5" s="1"/>
  <c r="K104" i="5"/>
  <c r="L104" i="5" s="1"/>
  <c r="L96" i="5"/>
  <c r="K98" i="5"/>
  <c r="L98" i="5" s="1"/>
  <c r="L94" i="5"/>
  <c r="L90" i="5"/>
  <c r="K80" i="5"/>
  <c r="L80" i="5" s="1"/>
  <c r="K97" i="5"/>
  <c r="L97" i="5" s="1"/>
  <c r="K129" i="5"/>
  <c r="L129" i="5" s="1"/>
  <c r="L87" i="5"/>
  <c r="L123" i="5"/>
  <c r="K81" i="5"/>
  <c r="L81" i="5" s="1"/>
  <c r="K93" i="5"/>
  <c r="L93" i="5" s="1"/>
  <c r="L92" i="5"/>
  <c r="L107" i="5"/>
  <c r="L133" i="5"/>
  <c r="L137" i="5"/>
  <c r="K99" i="5"/>
  <c r="L99" i="5" s="1"/>
  <c r="K105" i="5"/>
  <c r="L105" i="5" s="1"/>
  <c r="K125" i="5"/>
  <c r="L125" i="5" s="1"/>
  <c r="L106" i="5"/>
  <c r="L135" i="5"/>
  <c r="L108" i="5"/>
  <c r="L132" i="5"/>
  <c r="K86" i="5"/>
  <c r="L86" i="5" s="1"/>
  <c r="L113" i="5"/>
  <c r="L115" i="5"/>
  <c r="L134" i="5"/>
  <c r="L109" i="5"/>
  <c r="K95" i="5"/>
  <c r="L95" i="5" s="1"/>
  <c r="K117" i="5"/>
  <c r="L117" i="5" s="1"/>
  <c r="K130" i="5"/>
  <c r="L130" i="5" s="1"/>
  <c r="L91" i="5"/>
  <c r="L131" i="5"/>
  <c r="L100" i="5"/>
  <c r="L82" i="5"/>
  <c r="L103" i="5"/>
  <c r="K83" i="5"/>
  <c r="L83" i="5" s="1"/>
  <c r="K114" i="5"/>
  <c r="L114" i="5" s="1"/>
  <c r="K118" i="5"/>
  <c r="L118" i="5" s="1"/>
  <c r="K112" i="5"/>
  <c r="L112" i="5" s="1"/>
  <c r="K120" i="5"/>
  <c r="L120" i="5" s="1"/>
  <c r="K127" i="5"/>
  <c r="L127" i="5" s="1"/>
  <c r="K138" i="5"/>
  <c r="L138" i="5" s="1"/>
  <c r="L79" i="5"/>
  <c r="L85" i="5"/>
  <c r="L88" i="5"/>
  <c r="L136" i="5"/>
  <c r="L126" i="5"/>
  <c r="L119" i="5"/>
  <c r="L101" i="5"/>
  <c r="L110" i="5"/>
  <c r="L122" i="5"/>
  <c r="L84" i="5"/>
  <c r="L121" i="5"/>
  <c r="L89" i="5"/>
  <c r="L124" i="5"/>
  <c r="L128" i="5"/>
  <c r="L102" i="5"/>
  <c r="L1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FA327D-6514-4238-83A8-6D91F0677F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6BEDEB-AEA2-4030-A093-BEF47758E715}" name="WorksheetConnection_sales_project_simulation.xlsx!Table1" type="102" refreshedVersion="8" minRefreshableVersion="5">
    <extLst>
      <ext xmlns:x15="http://schemas.microsoft.com/office/spreadsheetml/2010/11/main" uri="{DE250136-89BD-433C-8126-D09CA5730AF9}">
        <x15:connection id="Table1" autoDelete="1">
          <x15:rangePr sourceName="_xlcn.WorksheetConnection_sales_project_simulation.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<sst xmlns="http://schemas.openxmlformats.org/spreadsheetml/2006/main" count="6961" uniqueCount="1389">
  <si>
    <t>Date</t>
  </si>
  <si>
    <t>Invoice</t>
  </si>
  <si>
    <t>Product</t>
  </si>
  <si>
    <t>Customer</t>
  </si>
  <si>
    <t>City</t>
  </si>
  <si>
    <t>Salesman</t>
  </si>
  <si>
    <t>Qty</t>
  </si>
  <si>
    <t>Price</t>
  </si>
  <si>
    <t>Total</t>
  </si>
  <si>
    <t>INV00001</t>
  </si>
  <si>
    <t>Bata Ringan 10cm</t>
  </si>
  <si>
    <t>Toko Bangunan 37</t>
  </si>
  <si>
    <t>Tangerang</t>
  </si>
  <si>
    <t>Sari</t>
  </si>
  <si>
    <t>INV00002</t>
  </si>
  <si>
    <t>Panel Dinding</t>
  </si>
  <si>
    <t>Toko Bangunan 11</t>
  </si>
  <si>
    <t>Depok</t>
  </si>
  <si>
    <t>Andi</t>
  </si>
  <si>
    <t>INV00003</t>
  </si>
  <si>
    <t>Toko Bangunan 8</t>
  </si>
  <si>
    <t>Surabaya</t>
  </si>
  <si>
    <t>Budi</t>
  </si>
  <si>
    <t>INV00004</t>
  </si>
  <si>
    <t>Semen Mortar</t>
  </si>
  <si>
    <t>Toko Bangunan 15</t>
  </si>
  <si>
    <t>Semarang</t>
  </si>
  <si>
    <t>INV00005</t>
  </si>
  <si>
    <t>Toko Bangunan 45</t>
  </si>
  <si>
    <t>Rina</t>
  </si>
  <si>
    <t>INV00006</t>
  </si>
  <si>
    <t>Toko Bangunan 26</t>
  </si>
  <si>
    <t>Jakarta</t>
  </si>
  <si>
    <t>Agus</t>
  </si>
  <si>
    <t>INV00007</t>
  </si>
  <si>
    <t>Toko Bangunan 49</t>
  </si>
  <si>
    <t>Bogor</t>
  </si>
  <si>
    <t>INV00008</t>
  </si>
  <si>
    <t>Toko Bangunan 9</t>
  </si>
  <si>
    <t>INV00009</t>
  </si>
  <si>
    <t>Toko Bangunan 7</t>
  </si>
  <si>
    <t>Bandung</t>
  </si>
  <si>
    <t>INV00010</t>
  </si>
  <si>
    <t>Toko Bangunan 1</t>
  </si>
  <si>
    <t>INV00011</t>
  </si>
  <si>
    <t>Toko Bangunan 36</t>
  </si>
  <si>
    <t>INV00012</t>
  </si>
  <si>
    <t>Toko Bangunan 10</t>
  </si>
  <si>
    <t>INV00013</t>
  </si>
  <si>
    <t>Toko Bangunan 44</t>
  </si>
  <si>
    <t>INV00014</t>
  </si>
  <si>
    <t>Toko Bangunan 35</t>
  </si>
  <si>
    <t>INV00015</t>
  </si>
  <si>
    <t>Bata Ringan 7.5cm</t>
  </si>
  <si>
    <t>Toko Bangunan 20</t>
  </si>
  <si>
    <t>INV00016</t>
  </si>
  <si>
    <t>Toko Bangunan 22</t>
  </si>
  <si>
    <t>Bekasi</t>
  </si>
  <si>
    <t>INV00017</t>
  </si>
  <si>
    <t>Toko Bangunan 19</t>
  </si>
  <si>
    <t>INV00018</t>
  </si>
  <si>
    <t>Toko Bangunan 28</t>
  </si>
  <si>
    <t>INV00019</t>
  </si>
  <si>
    <t>Toko Bangunan 23</t>
  </si>
  <si>
    <t>INV00020</t>
  </si>
  <si>
    <t>Toko Bangunan 48</t>
  </si>
  <si>
    <t>INV00021</t>
  </si>
  <si>
    <t>INV00022</t>
  </si>
  <si>
    <t>Toko Bangunan 16</t>
  </si>
  <si>
    <t>INV00023</t>
  </si>
  <si>
    <t>INV00024</t>
  </si>
  <si>
    <t>Toko Bangunan 41</t>
  </si>
  <si>
    <t>INV00025</t>
  </si>
  <si>
    <t>Toko Bangunan 6</t>
  </si>
  <si>
    <t>INV00026</t>
  </si>
  <si>
    <t>INV00027</t>
  </si>
  <si>
    <t>INV00028</t>
  </si>
  <si>
    <t>INV00029</t>
  </si>
  <si>
    <t>INV00030</t>
  </si>
  <si>
    <t>Toko Bangunan 31</t>
  </si>
  <si>
    <t>INV00031</t>
  </si>
  <si>
    <t>Toko Bangunan 32</t>
  </si>
  <si>
    <t>INV00032</t>
  </si>
  <si>
    <t>Toko Bangunan 2</t>
  </si>
  <si>
    <t>INV00033</t>
  </si>
  <si>
    <t>INV00034</t>
  </si>
  <si>
    <t>Toko Bangunan 38</t>
  </si>
  <si>
    <t>INV00035</t>
  </si>
  <si>
    <t>INV00036</t>
  </si>
  <si>
    <t>Toko Bangunan 21</t>
  </si>
  <si>
    <t>INV00037</t>
  </si>
  <si>
    <t>Toko Bangunan 29</t>
  </si>
  <si>
    <t>INV00038</t>
  </si>
  <si>
    <t>Toko Bangunan 17</t>
  </si>
  <si>
    <t>INV00039</t>
  </si>
  <si>
    <t>Toko Bangunan 5</t>
  </si>
  <si>
    <t>INV00040</t>
  </si>
  <si>
    <t>INV00041</t>
  </si>
  <si>
    <t>INV00042</t>
  </si>
  <si>
    <t>Toko Bangunan 12</t>
  </si>
  <si>
    <t>INV00043</t>
  </si>
  <si>
    <t>Toko Bangunan 43</t>
  </si>
  <si>
    <t>INV00044</t>
  </si>
  <si>
    <t>INV00045</t>
  </si>
  <si>
    <t>Toko Bangunan 50</t>
  </si>
  <si>
    <t>INV00046</t>
  </si>
  <si>
    <t>INV00047</t>
  </si>
  <si>
    <t>INV00048</t>
  </si>
  <si>
    <t>INV00049</t>
  </si>
  <si>
    <t>INV00050</t>
  </si>
  <si>
    <t>Toko Bangunan 3</t>
  </si>
  <si>
    <t>INV00051</t>
  </si>
  <si>
    <t>INV00052</t>
  </si>
  <si>
    <t>INV00053</t>
  </si>
  <si>
    <t>INV00054</t>
  </si>
  <si>
    <t>INV00055</t>
  </si>
  <si>
    <t>Toko Bangunan 34</t>
  </si>
  <si>
    <t>INV00056</t>
  </si>
  <si>
    <t>INV00057</t>
  </si>
  <si>
    <t>Toko Bangunan 30</t>
  </si>
  <si>
    <t>INV00058</t>
  </si>
  <si>
    <t>Toko Bangunan 40</t>
  </si>
  <si>
    <t>INV00059</t>
  </si>
  <si>
    <t>INV00060</t>
  </si>
  <si>
    <t>Toko Bangunan 25</t>
  </si>
  <si>
    <t>INV00061</t>
  </si>
  <si>
    <t>INV00062</t>
  </si>
  <si>
    <t>INV00063</t>
  </si>
  <si>
    <t>INV00064</t>
  </si>
  <si>
    <t>Toko Bangunan 14</t>
  </si>
  <si>
    <t>INV00065</t>
  </si>
  <si>
    <t>INV00066</t>
  </si>
  <si>
    <t>INV00067</t>
  </si>
  <si>
    <t>Toko Bangunan 27</t>
  </si>
  <si>
    <t>INV00068</t>
  </si>
  <si>
    <t>INV00069</t>
  </si>
  <si>
    <t>Toko Bangunan 39</t>
  </si>
  <si>
    <t>INV00070</t>
  </si>
  <si>
    <t>INV00071</t>
  </si>
  <si>
    <t>INV00072</t>
  </si>
  <si>
    <t>INV00073</t>
  </si>
  <si>
    <t>Toko Bangunan 4</t>
  </si>
  <si>
    <t>INV00074</t>
  </si>
  <si>
    <t>INV00075</t>
  </si>
  <si>
    <t>INV00076</t>
  </si>
  <si>
    <t>INV00077</t>
  </si>
  <si>
    <t>INV00078</t>
  </si>
  <si>
    <t>INV00079</t>
  </si>
  <si>
    <t>INV00080</t>
  </si>
  <si>
    <t>INV00081</t>
  </si>
  <si>
    <t>INV00082</t>
  </si>
  <si>
    <t>INV00083</t>
  </si>
  <si>
    <t>Toko Bangunan 42</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</si>
  <si>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</si>
  <si>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</si>
  <si>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</si>
  <si>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</si>
  <si>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</si>
  <si>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</si>
  <si>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</si>
  <si>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</si>
  <si>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</si>
  <si>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</si>
  <si>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</si>
  <si>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</si>
  <si>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</si>
  <si>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</si>
  <si>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</si>
  <si>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</si>
  <si>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</si>
  <si>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</si>
  <si>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</si>
  <si>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</si>
  <si>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</si>
  <si>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</si>
  <si>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</si>
  <si>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</si>
  <si>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</si>
  <si>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</si>
  <si>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</si>
  <si>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</si>
  <si>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</si>
  <si>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</si>
  <si>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</si>
  <si>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Toko Bangunan 33</t>
  </si>
  <si>
    <t>INV00115</t>
  </si>
  <si>
    <t>INV00116</t>
  </si>
  <si>
    <t>INV00117</t>
  </si>
  <si>
    <t>INV00118</t>
  </si>
  <si>
    <t>INV00119</t>
  </si>
  <si>
    <t>INV00120</t>
  </si>
  <si>
    <t>Toko Bangunan 18</t>
  </si>
  <si>
    <t>INV00121</t>
  </si>
  <si>
    <t>INV00122</t>
  </si>
  <si>
    <t>INV00123</t>
  </si>
  <si>
    <t>INV00124</t>
  </si>
  <si>
    <t>INV00125</t>
  </si>
  <si>
    <t>INV00126</t>
  </si>
  <si>
    <t>INV00127</t>
  </si>
  <si>
    <t>INV00128</t>
  </si>
  <si>
    <t>INV00129</t>
  </si>
  <si>
    <t>Toko Bangunan 47</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</si>
  <si>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</si>
  <si>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</si>
  <si>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</si>
  <si>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</si>
  <si>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</si>
  <si>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</si>
  <si>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</si>
  <si>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</si>
  <si>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</si>
  <si>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</si>
  <si>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</si>
  <si>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</si>
  <si>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</si>
  <si>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</si>
  <si>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</si>
  <si>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</si>
  <si>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</si>
  <si>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</si>
  <si>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</si>
  <si>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</si>
  <si>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</si>
  <si>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</si>
  <si>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</si>
  <si>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</si>
  <si>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</si>
  <si>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</si>
  <si>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</si>
  <si>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</si>
  <si>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</si>
  <si>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</si>
  <si>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</si>
  <si>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</si>
  <si>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</si>
  <si>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</si>
  <si>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</si>
  <si>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</si>
  <si>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</si>
  <si>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</si>
  <si>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</si>
  <si>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</si>
  <si>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</si>
  <si>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</si>
  <si>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</si>
  <si>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</si>
  <si>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</si>
  <si>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</si>
  <si>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</si>
  <si>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</si>
  <si>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</si>
  <si>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Toko Bangunan 46</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</si>
  <si>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</si>
  <si>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</si>
  <si>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</si>
  <si>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</si>
  <si>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</si>
  <si>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</si>
  <si>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</si>
  <si>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</si>
  <si>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</si>
  <si>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</si>
  <si>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</si>
  <si>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</si>
  <si>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</si>
  <si>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</si>
  <si>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</si>
  <si>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</si>
  <si>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</si>
  <si>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Toko Bangunan 13</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</si>
  <si>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</si>
  <si>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</si>
  <si>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</si>
  <si>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</si>
  <si>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</si>
  <si>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</si>
  <si>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</si>
  <si>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</si>
  <si>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</si>
  <si>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</si>
  <si>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</si>
  <si>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</si>
  <si>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</si>
  <si>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</si>
  <si>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</si>
  <si>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</si>
  <si>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</si>
  <si>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</si>
  <si>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</si>
  <si>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</si>
  <si>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</si>
  <si>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</si>
  <si>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</si>
  <si>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</si>
  <si>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</si>
  <si>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</si>
  <si>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</si>
  <si>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</si>
  <si>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</si>
  <si>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</si>
  <si>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</si>
  <si>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</si>
  <si>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</si>
  <si>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</si>
  <si>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</si>
  <si>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Toko Bangunan 24</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</si>
  <si>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</si>
  <si>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</si>
  <si>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</si>
  <si>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</si>
  <si>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</si>
  <si>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</si>
  <si>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</si>
  <si>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</si>
  <si>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</si>
  <si>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</si>
  <si>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</si>
  <si>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</si>
  <si>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</si>
  <si>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</si>
  <si>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</si>
  <si>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</si>
  <si>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</si>
  <si>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</si>
  <si>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</si>
  <si>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</si>
  <si>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</si>
  <si>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</si>
  <si>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</si>
  <si>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</si>
  <si>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</si>
  <si>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</si>
  <si>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</si>
  <si>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</si>
  <si>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</si>
  <si>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</si>
  <si>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</si>
  <si>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</si>
  <si>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</si>
  <si>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</si>
  <si>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</si>
  <si>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</si>
  <si>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</si>
  <si>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</si>
  <si>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</si>
  <si>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</si>
  <si>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</si>
  <si>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</si>
  <si>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</si>
  <si>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</si>
  <si>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</si>
  <si>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</si>
  <si>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</si>
  <si>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</si>
  <si>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</si>
  <si>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</si>
  <si>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</si>
  <si>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</si>
  <si>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</si>
  <si>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</si>
  <si>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</si>
  <si>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</si>
  <si>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</si>
  <si>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</si>
  <si>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</si>
  <si>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</si>
  <si>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</si>
  <si>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</si>
  <si>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</si>
  <si>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</si>
  <si>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</si>
  <si>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</si>
  <si>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</si>
  <si>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</si>
  <si>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</si>
  <si>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</si>
  <si>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</si>
  <si>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</si>
  <si>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</si>
  <si>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</si>
  <si>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</si>
  <si>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</si>
  <si>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</si>
  <si>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</si>
  <si>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</si>
  <si>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</si>
  <si>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</si>
  <si>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</si>
  <si>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</si>
  <si>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</si>
  <si>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</si>
  <si>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</si>
  <si>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</si>
  <si>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</si>
  <si>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</si>
  <si>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</si>
  <si>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</si>
  <si>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</si>
  <si>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</si>
  <si>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</si>
  <si>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</si>
  <si>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</si>
  <si>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</si>
  <si>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</si>
  <si>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</si>
  <si>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</si>
  <si>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</si>
  <si>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</si>
  <si>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</si>
  <si>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</si>
  <si>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</si>
  <si>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</si>
  <si>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</si>
  <si>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</si>
  <si>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</si>
  <si>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</si>
  <si>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</si>
  <si>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</si>
  <si>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</si>
  <si>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</si>
  <si>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</si>
  <si>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</si>
  <si>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</si>
  <si>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</si>
  <si>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</si>
  <si>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</si>
  <si>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</si>
  <si>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</si>
  <si>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</si>
  <si>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</si>
  <si>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</si>
  <si>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</si>
  <si>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</si>
  <si>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</si>
  <si>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</si>
  <si>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</si>
  <si>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</si>
  <si>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</si>
  <si>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</si>
  <si>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</si>
  <si>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</si>
  <si>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</si>
  <si>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</si>
  <si>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</si>
  <si>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</si>
  <si>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</si>
  <si>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</si>
  <si>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</si>
  <si>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</si>
  <si>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</si>
  <si>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</si>
  <si>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</si>
  <si>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</si>
  <si>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</si>
  <si>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</si>
  <si>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</si>
  <si>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</si>
  <si>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</si>
  <si>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</si>
  <si>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</si>
  <si>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</si>
  <si>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</si>
  <si>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</si>
  <si>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</si>
  <si>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</si>
  <si>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</si>
  <si>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</si>
  <si>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</si>
  <si>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</si>
  <si>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</si>
  <si>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</si>
  <si>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</si>
  <si>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</si>
  <si>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</si>
  <si>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</si>
  <si>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</si>
  <si>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</si>
  <si>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</si>
  <si>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</si>
  <si>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</si>
  <si>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</si>
  <si>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</si>
  <si>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</si>
  <si>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</si>
  <si>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</si>
  <si>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</si>
  <si>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</si>
  <si>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</si>
  <si>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</si>
  <si>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</si>
  <si>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</si>
  <si>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</si>
  <si>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</si>
  <si>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</si>
  <si>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</si>
  <si>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</si>
  <si>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</si>
  <si>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</si>
  <si>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</si>
  <si>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</si>
  <si>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</si>
  <si>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</si>
  <si>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</si>
  <si>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</si>
  <si>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</si>
  <si>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</si>
  <si>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</si>
  <si>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</si>
  <si>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</si>
  <si>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</si>
  <si>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</si>
  <si>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</si>
  <si>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</si>
  <si>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</si>
  <si>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</si>
  <si>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</si>
  <si>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</si>
  <si>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</si>
  <si>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</si>
  <si>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</si>
  <si>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</si>
  <si>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</si>
  <si>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</si>
  <si>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</si>
  <si>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</si>
  <si>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</si>
  <si>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</si>
  <si>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</si>
  <si>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</si>
  <si>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</si>
  <si>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</si>
  <si>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</si>
  <si>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</si>
  <si>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</si>
  <si>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</si>
  <si>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</si>
  <si>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</si>
  <si>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</si>
  <si>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</si>
  <si>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</si>
  <si>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</si>
  <si>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</si>
  <si>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</si>
  <si>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</si>
  <si>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</si>
  <si>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</si>
  <si>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</si>
  <si>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</si>
  <si>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</si>
  <si>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</si>
  <si>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</si>
  <si>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</si>
  <si>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</si>
  <si>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</si>
  <si>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</si>
  <si>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</si>
  <si>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</si>
  <si>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</si>
  <si>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</si>
  <si>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</si>
  <si>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</si>
  <si>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</si>
  <si>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</si>
  <si>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</si>
  <si>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</si>
  <si>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</si>
  <si>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</si>
  <si>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</si>
  <si>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</si>
  <si>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</si>
  <si>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</si>
  <si>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</si>
  <si>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</si>
  <si>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</si>
  <si>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</si>
  <si>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</si>
  <si>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</si>
  <si>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</si>
  <si>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</si>
  <si>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</si>
  <si>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</si>
  <si>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</si>
  <si>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</si>
  <si>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</si>
  <si>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</si>
  <si>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</si>
  <si>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</si>
  <si>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</si>
  <si>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</si>
  <si>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</si>
  <si>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</si>
  <si>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</si>
  <si>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</si>
  <si>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</si>
  <si>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</si>
  <si>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</si>
  <si>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</si>
  <si>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</si>
  <si>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</si>
  <si>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</si>
  <si>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</si>
  <si>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</si>
  <si>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</si>
  <si>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</si>
  <si>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</si>
  <si>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</si>
  <si>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</si>
  <si>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</si>
  <si>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</si>
  <si>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</si>
  <si>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</si>
  <si>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</si>
  <si>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</si>
  <si>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</si>
  <si>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</si>
  <si>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</si>
  <si>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</si>
  <si>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</si>
  <si>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</si>
  <si>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</si>
  <si>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</si>
  <si>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</si>
  <si>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</si>
  <si>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</si>
  <si>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</si>
  <si>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</si>
  <si>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</si>
  <si>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</si>
  <si>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</si>
  <si>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</si>
  <si>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</si>
  <si>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</si>
  <si>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</si>
  <si>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</si>
  <si>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</si>
  <si>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</si>
  <si>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</si>
  <si>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</si>
  <si>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</si>
  <si>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</si>
  <si>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</si>
  <si>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</si>
  <si>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</si>
  <si>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</si>
  <si>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</si>
  <si>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</si>
  <si>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</si>
  <si>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</si>
  <si>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</si>
  <si>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</si>
  <si>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</si>
  <si>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</si>
  <si>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</si>
  <si>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</si>
  <si>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</si>
  <si>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</si>
  <si>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</si>
  <si>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</si>
  <si>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</si>
  <si>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</si>
  <si>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</si>
  <si>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</si>
  <si>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</si>
  <si>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</si>
  <si>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</si>
  <si>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</si>
  <si>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</si>
  <si>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</si>
  <si>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</si>
  <si>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</si>
  <si>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</si>
  <si>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</si>
  <si>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</si>
  <si>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</si>
  <si>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</si>
  <si>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</si>
  <si>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</si>
  <si>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</si>
  <si>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</si>
  <si>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</si>
  <si>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</si>
  <si>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</si>
  <si>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</si>
  <si>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</si>
  <si>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</si>
  <si>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</si>
  <si>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</si>
  <si>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</si>
  <si>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</si>
  <si>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</si>
  <si>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</si>
  <si>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</si>
  <si>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</si>
  <si>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</si>
  <si>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</si>
  <si>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</si>
  <si>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</si>
  <si>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</si>
  <si>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</si>
  <si>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</si>
  <si>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</si>
  <si>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</si>
  <si>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</si>
  <si>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</si>
  <si>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</si>
  <si>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</si>
  <si>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</si>
  <si>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</si>
  <si>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</si>
  <si>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</si>
  <si>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</si>
  <si>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</si>
  <si>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</si>
  <si>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</si>
  <si>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</si>
  <si>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</si>
  <si>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</si>
  <si>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</si>
  <si>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</si>
  <si>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</si>
  <si>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</si>
  <si>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</si>
  <si>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</si>
  <si>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</si>
  <si>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</si>
  <si>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</si>
  <si>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</si>
  <si>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</si>
  <si>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</si>
  <si>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</si>
  <si>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</si>
  <si>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</si>
  <si>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</si>
  <si>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</si>
  <si>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</si>
  <si>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</si>
  <si>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</si>
  <si>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</si>
  <si>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</si>
  <si>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</si>
  <si>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</si>
  <si>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</si>
  <si>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</si>
  <si>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</si>
  <si>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</si>
  <si>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</si>
  <si>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</si>
  <si>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</si>
  <si>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</si>
  <si>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</si>
  <si>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</si>
  <si>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</si>
  <si>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</si>
  <si>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</si>
  <si>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</si>
  <si>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</si>
  <si>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</si>
  <si>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</si>
  <si>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</si>
  <si>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</si>
  <si>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</si>
  <si>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</si>
  <si>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</si>
  <si>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</si>
  <si>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</si>
  <si>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</si>
  <si>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</si>
  <si>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</si>
  <si>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</si>
  <si>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</si>
  <si>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</si>
  <si>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</si>
  <si>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</si>
  <si>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</si>
  <si>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</si>
  <si>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</si>
  <si>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</si>
  <si>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</si>
  <si>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</si>
  <si>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</si>
  <si>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</si>
  <si>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</si>
  <si>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</si>
  <si>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</si>
  <si>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</si>
  <si>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</si>
  <si>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</si>
  <si>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</si>
  <si>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</si>
  <si>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</si>
  <si>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</si>
  <si>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</si>
  <si>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</si>
  <si>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</si>
  <si>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</si>
  <si>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</si>
  <si>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</si>
  <si>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</si>
  <si>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</si>
  <si>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</si>
  <si>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</si>
  <si>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</si>
  <si>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</si>
  <si>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</si>
  <si>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</si>
  <si>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</si>
  <si>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</si>
  <si>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</si>
  <si>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</si>
  <si>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</si>
  <si>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</si>
  <si>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</si>
  <si>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</si>
  <si>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</si>
  <si>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</si>
  <si>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</si>
  <si>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</si>
  <si>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</si>
  <si>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</si>
  <si>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</si>
  <si>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</si>
  <si>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</si>
  <si>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</si>
  <si>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</si>
  <si>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</si>
  <si>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</si>
  <si>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</si>
  <si>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</si>
  <si>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</si>
  <si>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</si>
  <si>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</si>
  <si>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</si>
  <si>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</si>
  <si>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</si>
  <si>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</si>
  <si>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</si>
  <si>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</si>
  <si>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</si>
  <si>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</si>
  <si>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</si>
  <si>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</si>
  <si>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</si>
  <si>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</si>
  <si>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</si>
  <si>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</si>
  <si>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</si>
  <si>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</si>
  <si>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</si>
  <si>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</si>
  <si>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</si>
  <si>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</si>
  <si>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</si>
  <si>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</si>
  <si>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</si>
  <si>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</si>
  <si>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</si>
  <si>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</si>
  <si>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</si>
  <si>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</si>
  <si>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</si>
  <si>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</si>
  <si>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</si>
  <si>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</si>
  <si>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</si>
  <si>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</si>
  <si>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</si>
  <si>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</si>
  <si>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</si>
  <si>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</si>
  <si>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</si>
  <si>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</si>
  <si>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</si>
  <si>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</si>
  <si>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</si>
  <si>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</si>
  <si>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</si>
  <si>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</si>
  <si>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</si>
  <si>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</si>
  <si>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</si>
  <si>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</si>
  <si>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</si>
  <si>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</si>
  <si>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</si>
  <si>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</si>
  <si>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</si>
  <si>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</si>
  <si>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</si>
  <si>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</si>
  <si>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</si>
  <si>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</si>
  <si>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</si>
  <si>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</si>
  <si>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</si>
  <si>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</si>
  <si>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</si>
  <si>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</si>
  <si>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</si>
  <si>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</si>
  <si>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</si>
  <si>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</si>
  <si>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</si>
  <si>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</si>
  <si>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</si>
  <si>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</si>
  <si>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</si>
  <si>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</si>
  <si>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</si>
  <si>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</si>
  <si>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</si>
  <si>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</si>
  <si>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</si>
  <si>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</si>
  <si>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</si>
  <si>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</si>
  <si>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</si>
  <si>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</si>
  <si>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</si>
  <si>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</si>
  <si>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</si>
  <si>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</si>
  <si>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</si>
  <si>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</si>
  <si>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</si>
  <si>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</si>
  <si>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</si>
  <si>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</si>
  <si>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</si>
  <si>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</si>
  <si>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</si>
  <si>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</si>
  <si>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</si>
  <si>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</si>
  <si>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</si>
  <si>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</si>
  <si>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</si>
  <si>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</si>
  <si>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</si>
  <si>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</si>
  <si>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</si>
  <si>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</si>
  <si>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</si>
  <si>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</si>
  <si>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</si>
  <si>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</si>
  <si>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</si>
  <si>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</si>
  <si>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</si>
  <si>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</si>
  <si>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</si>
  <si>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</si>
  <si>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</si>
  <si>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</si>
  <si>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</si>
  <si>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</si>
  <si>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</si>
  <si>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</si>
  <si>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</si>
  <si>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</si>
  <si>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</si>
  <si>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</si>
  <si>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</si>
  <si>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</si>
  <si>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</si>
  <si>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</si>
  <si>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</si>
  <si>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</si>
  <si>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</si>
  <si>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</si>
  <si>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</si>
  <si>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</si>
  <si>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</si>
  <si>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</si>
  <si>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</si>
  <si>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</si>
  <si>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</si>
  <si>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</si>
  <si>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</si>
  <si>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</si>
  <si>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</si>
  <si>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</si>
  <si>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</si>
  <si>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</si>
  <si>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</si>
  <si>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</si>
  <si>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</si>
  <si>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</si>
  <si>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</si>
  <si>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</si>
  <si>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</si>
  <si>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</si>
  <si>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</si>
  <si>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</si>
  <si>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</si>
  <si>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</si>
  <si>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</si>
  <si>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</si>
  <si>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</si>
  <si>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</si>
  <si>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</si>
  <si>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</si>
  <si>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</si>
  <si>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</si>
  <si>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</si>
  <si>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</si>
  <si>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</si>
  <si>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</si>
  <si>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</si>
  <si>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</si>
  <si>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</si>
  <si>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</si>
  <si>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</si>
  <si>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</si>
  <si>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</si>
  <si>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</si>
  <si>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</si>
  <si>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</si>
  <si>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</si>
  <si>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</si>
  <si>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</si>
  <si>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</si>
  <si>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</si>
  <si>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</si>
  <si>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</si>
  <si>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</si>
  <si>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</si>
  <si>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</si>
  <si>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</si>
  <si>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</si>
  <si>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</si>
  <si>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</si>
  <si>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</si>
  <si>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</si>
  <si>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</si>
  <si>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</si>
  <si>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</si>
  <si>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</si>
  <si>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</si>
  <si>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</si>
  <si>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</si>
  <si>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</si>
  <si>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</si>
  <si>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</si>
  <si>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</si>
  <si>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</si>
  <si>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</si>
  <si>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</si>
  <si>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</si>
  <si>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</si>
  <si>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</si>
  <si>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</si>
  <si>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</si>
  <si>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</si>
  <si>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</si>
  <si>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</si>
  <si>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</si>
  <si>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</si>
  <si>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</si>
  <si>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</si>
  <si>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</si>
  <si>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</si>
  <si>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</si>
  <si>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</si>
  <si>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</si>
  <si>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</si>
  <si>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</si>
  <si>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</si>
  <si>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</si>
  <si>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</si>
  <si>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</si>
  <si>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</si>
  <si>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</si>
  <si>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</si>
  <si>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</si>
  <si>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</si>
  <si>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</si>
  <si>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</si>
  <si>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INV01002</t>
  </si>
  <si>
    <t>INV01003</t>
  </si>
  <si>
    <t>INV01004</t>
  </si>
  <si>
    <t>INV01005</t>
  </si>
  <si>
    <t>INV01006</t>
  </si>
  <si>
    <t>INV01007</t>
  </si>
  <si>
    <t>INV01008</t>
  </si>
  <si>
    <t>INV01009</t>
  </si>
  <si>
    <t>INV01010</t>
  </si>
  <si>
    <t>INV01011</t>
  </si>
  <si>
    <t>INV01012</t>
  </si>
  <si>
    <t>INV01013</t>
  </si>
  <si>
    <t>INV01014</t>
  </si>
  <si>
    <t>INV01015</t>
  </si>
  <si>
    <t>INV01016</t>
  </si>
  <si>
    <t>INV01017</t>
  </si>
  <si>
    <t>INV01018</t>
  </si>
  <si>
    <t>INV01019</t>
  </si>
  <si>
    <t>INV01020</t>
  </si>
  <si>
    <t>INV01021</t>
  </si>
  <si>
    <t>INV01022</t>
  </si>
  <si>
    <t>INV01023</t>
  </si>
  <si>
    <t>INV01024</t>
  </si>
  <si>
    <t>INV01025</t>
  </si>
  <si>
    <t>INV01026</t>
  </si>
  <si>
    <t>INV01027</t>
  </si>
  <si>
    <t>INV01028</t>
  </si>
  <si>
    <t>INV01029</t>
  </si>
  <si>
    <t>INV01030</t>
  </si>
  <si>
    <t>INV01031</t>
  </si>
  <si>
    <t>INV01032</t>
  </si>
  <si>
    <t>INV01033</t>
  </si>
  <si>
    <t>INV01034</t>
  </si>
  <si>
    <t>INV01035</t>
  </si>
  <si>
    <t>INV01036</t>
  </si>
  <si>
    <t>INV01037</t>
  </si>
  <si>
    <t>INV01038</t>
  </si>
  <si>
    <t>INV01039</t>
  </si>
  <si>
    <t>INV01040</t>
  </si>
  <si>
    <t>INV01041</t>
  </si>
  <si>
    <t>INV01042</t>
  </si>
  <si>
    <t>INV01043</t>
  </si>
  <si>
    <t>INV01044</t>
  </si>
  <si>
    <t>INV01045</t>
  </si>
  <si>
    <t>INV01046</t>
  </si>
  <si>
    <t>INV01047</t>
  </si>
  <si>
    <t>INV01048</t>
  </si>
  <si>
    <t>INV01049</t>
  </si>
  <si>
    <t>INV01050</t>
  </si>
  <si>
    <t>INV01051</t>
  </si>
  <si>
    <t>INV01052</t>
  </si>
  <si>
    <t>INV01053</t>
  </si>
  <si>
    <t>INV01054</t>
  </si>
  <si>
    <t>INV01055</t>
  </si>
  <si>
    <t>INV01056</t>
  </si>
  <si>
    <t>INV01057</t>
  </si>
  <si>
    <t>INV01058</t>
  </si>
  <si>
    <t>INV01059</t>
  </si>
  <si>
    <t>INV01060</t>
  </si>
  <si>
    <t>INV01061</t>
  </si>
  <si>
    <t>INV01062</t>
  </si>
  <si>
    <t>INV01063</t>
  </si>
  <si>
    <t>INV01064</t>
  </si>
  <si>
    <t>INV01065</t>
  </si>
  <si>
    <t>INV01066</t>
  </si>
  <si>
    <t>INV01067</t>
  </si>
  <si>
    <t>INV01068</t>
  </si>
  <si>
    <t>INV01069</t>
  </si>
  <si>
    <t>INV01070</t>
  </si>
  <si>
    <t>INV01071</t>
  </si>
  <si>
    <t>INV01072</t>
  </si>
  <si>
    <t>INV01073</t>
  </si>
  <si>
    <t>INV01074</t>
  </si>
  <si>
    <t>INV01075</t>
  </si>
  <si>
    <t>INV01076</t>
  </si>
  <si>
    <t>INV01077</t>
  </si>
  <si>
    <t>INV01078</t>
  </si>
  <si>
    <t>INV01079</t>
  </si>
  <si>
    <t>INV01080</t>
  </si>
  <si>
    <t>INV01081</t>
  </si>
  <si>
    <t>INV01082</t>
  </si>
  <si>
    <t>INV01083</t>
  </si>
  <si>
    <t>INV01084</t>
  </si>
  <si>
    <t>INV01085</t>
  </si>
  <si>
    <t>INV01086</t>
  </si>
  <si>
    <t>INV01087</t>
  </si>
  <si>
    <t>INV01088</t>
  </si>
  <si>
    <t>INV01089</t>
  </si>
  <si>
    <t>INV01090</t>
  </si>
  <si>
    <t>INV01091</t>
  </si>
  <si>
    <t>INV01092</t>
  </si>
  <si>
    <t>INV01093</t>
  </si>
  <si>
    <t>INV01094</t>
  </si>
  <si>
    <t>INV01095</t>
  </si>
  <si>
    <t>INV01096</t>
  </si>
  <si>
    <t>INV01097</t>
  </si>
  <si>
    <t>INV01098</t>
  </si>
  <si>
    <t>INV01099</t>
  </si>
  <si>
    <t>INV01100</t>
  </si>
  <si>
    <t>INV01101</t>
  </si>
  <si>
    <t>INV01102</t>
  </si>
  <si>
    <t>INV01103</t>
  </si>
  <si>
    <t>INV01104</t>
  </si>
  <si>
    <t>INV01105</t>
  </si>
  <si>
    <t>INV01106</t>
  </si>
  <si>
    <t>INV01107</t>
  </si>
  <si>
    <t>INV01108</t>
  </si>
  <si>
    <t>INV01109</t>
  </si>
  <si>
    <t>INV01110</t>
  </si>
  <si>
    <t>INV01111</t>
  </si>
  <si>
    <t>INV01112</t>
  </si>
  <si>
    <t>INV01113</t>
  </si>
  <si>
    <t>INV01114</t>
  </si>
  <si>
    <t>INV01115</t>
  </si>
  <si>
    <t>INV01116</t>
  </si>
  <si>
    <t>INV01117</t>
  </si>
  <si>
    <t>INV01118</t>
  </si>
  <si>
    <t>INV01119</t>
  </si>
  <si>
    <t>INV01120</t>
  </si>
  <si>
    <t>INV01121</t>
  </si>
  <si>
    <t>INV01122</t>
  </si>
  <si>
    <t>INV01123</t>
  </si>
  <si>
    <t>INV01124</t>
  </si>
  <si>
    <t>INV01125</t>
  </si>
  <si>
    <t>INV01126</t>
  </si>
  <si>
    <t>INV01127</t>
  </si>
  <si>
    <t>INV01128</t>
  </si>
  <si>
    <t>INV01129</t>
  </si>
  <si>
    <t>INV01130</t>
  </si>
  <si>
    <t>INV01131</t>
  </si>
  <si>
    <t>INV01132</t>
  </si>
  <si>
    <t>INV01133</t>
  </si>
  <si>
    <t>INV01134</t>
  </si>
  <si>
    <t>INV01135</t>
  </si>
  <si>
    <t>INV01136</t>
  </si>
  <si>
    <t>INV01137</t>
  </si>
  <si>
    <t>INV01138</t>
  </si>
  <si>
    <t>INV01139</t>
  </si>
  <si>
    <t>INV01140</t>
  </si>
  <si>
    <t>INV01141</t>
  </si>
  <si>
    <t>INV01142</t>
  </si>
  <si>
    <t>INV01143</t>
  </si>
  <si>
    <t>INV01144</t>
  </si>
  <si>
    <t>INV01145</t>
  </si>
  <si>
    <t>INV01146</t>
  </si>
  <si>
    <t>INV01147</t>
  </si>
  <si>
    <t>INV01148</t>
  </si>
  <si>
    <t>INV01149</t>
  </si>
  <si>
    <t>INV01150</t>
  </si>
  <si>
    <t>INV01151</t>
  </si>
  <si>
    <t>INV01152</t>
  </si>
  <si>
    <t>INV01153</t>
  </si>
  <si>
    <t>INV01154</t>
  </si>
  <si>
    <t>INV01155</t>
  </si>
  <si>
    <t>INV01156</t>
  </si>
  <si>
    <t>INV01157</t>
  </si>
  <si>
    <t>INV01158</t>
  </si>
  <si>
    <t>INV01159</t>
  </si>
  <si>
    <t>INV01160</t>
  </si>
  <si>
    <t>INV01161</t>
  </si>
  <si>
    <t>INV01162</t>
  </si>
  <si>
    <t>INV01163</t>
  </si>
  <si>
    <t>INV01164</t>
  </si>
  <si>
    <t>INV01165</t>
  </si>
  <si>
    <t>INV01166</t>
  </si>
  <si>
    <t>INV01167</t>
  </si>
  <si>
    <t>INV01168</t>
  </si>
  <si>
    <t>INV01169</t>
  </si>
  <si>
    <t>INV01170</t>
  </si>
  <si>
    <t>INV01171</t>
  </si>
  <si>
    <t>INV01172</t>
  </si>
  <si>
    <t>INV01173</t>
  </si>
  <si>
    <t>INV01174</t>
  </si>
  <si>
    <t>INV01175</t>
  </si>
  <si>
    <t>INV01176</t>
  </si>
  <si>
    <t>INV01177</t>
  </si>
  <si>
    <t>INV01178</t>
  </si>
  <si>
    <t>INV01179</t>
  </si>
  <si>
    <t>INV01180</t>
  </si>
  <si>
    <t>INV01181</t>
  </si>
  <si>
    <t>INV01182</t>
  </si>
  <si>
    <t>INV01183</t>
  </si>
  <si>
    <t>INV01184</t>
  </si>
  <si>
    <t>INV01185</t>
  </si>
  <si>
    <t>INV01186</t>
  </si>
  <si>
    <t>INV01187</t>
  </si>
  <si>
    <t>INV01188</t>
  </si>
  <si>
    <t>INV01189</t>
  </si>
  <si>
    <t>INV01190</t>
  </si>
  <si>
    <t>INV01191</t>
  </si>
  <si>
    <t>INV01192</t>
  </si>
  <si>
    <t>INV01193</t>
  </si>
  <si>
    <t>INV01194</t>
  </si>
  <si>
    <t>INV01195</t>
  </si>
  <si>
    <t>INV01196</t>
  </si>
  <si>
    <t>INV01197</t>
  </si>
  <si>
    <t>INV01198</t>
  </si>
  <si>
    <t>INV01199</t>
  </si>
  <si>
    <t>INV01200</t>
  </si>
  <si>
    <t>ProductID</t>
  </si>
  <si>
    <t>ProductName</t>
  </si>
  <si>
    <t>Category</t>
  </si>
  <si>
    <t>P001</t>
  </si>
  <si>
    <t>Material</t>
  </si>
  <si>
    <t>P002</t>
  </si>
  <si>
    <t>P003</t>
  </si>
  <si>
    <t>P004</t>
  </si>
  <si>
    <t>CustomerID</t>
  </si>
  <si>
    <t>CustomerName</t>
  </si>
  <si>
    <t>Segment</t>
  </si>
  <si>
    <t>C001</t>
  </si>
  <si>
    <t>Retail</t>
  </si>
  <si>
    <t>C002</t>
  </si>
  <si>
    <t>Project</t>
  </si>
  <si>
    <t>C003</t>
  </si>
  <si>
    <t>Distributor</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</si>
  <si>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</si>
  <si>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</si>
  <si>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</si>
  <si>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</si>
  <si>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</si>
  <si>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</si>
  <si>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</si>
  <si>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</si>
  <si>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</si>
  <si>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</si>
  <si>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</si>
  <si>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</si>
  <si>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</si>
  <si>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</si>
  <si>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</si>
  <si>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</si>
  <si>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</si>
  <si>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</si>
  <si>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</si>
  <si>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</si>
  <si>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</si>
  <si>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</si>
  <si>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</si>
  <si>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</si>
  <si>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</si>
  <si>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</si>
  <si>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</si>
  <si>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</si>
  <si>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</si>
  <si>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</si>
  <si>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</si>
  <si>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</si>
  <si>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</si>
  <si>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</si>
  <si>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</si>
  <si>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</si>
  <si>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</si>
  <si>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</si>
  <si>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</si>
  <si>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</si>
  <si>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</si>
  <si>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</si>
  <si>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</si>
  <si>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</si>
  <si>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</si>
  <si>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</si>
  <si>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</si>
  <si>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Month</t>
  </si>
  <si>
    <t>Target</t>
  </si>
  <si>
    <t>Jan</t>
  </si>
  <si>
    <t>Feb</t>
  </si>
  <si>
    <t>Mar</t>
  </si>
  <si>
    <t>Apr</t>
  </si>
  <si>
    <t>May</t>
  </si>
  <si>
    <t>Jun</t>
  </si>
  <si>
    <t>Jul</t>
  </si>
  <si>
    <t>Aug</t>
  </si>
  <si>
    <t>Sep</t>
  </si>
  <si>
    <t>Oct</t>
  </si>
  <si>
    <t>Nov</t>
  </si>
  <si>
    <t>Dec</t>
  </si>
  <si>
    <t>Sum of Total</t>
  </si>
  <si>
    <t>Row Labels</t>
  </si>
  <si>
    <t>Grand Total</t>
  </si>
  <si>
    <t>2025</t>
  </si>
  <si>
    <t>Agus Total</t>
  </si>
  <si>
    <t>Andi Total</t>
  </si>
  <si>
    <t>Budi Total</t>
  </si>
  <si>
    <t>Rina Total</t>
  </si>
  <si>
    <t>Sari Total</t>
  </si>
  <si>
    <t>Actual</t>
  </si>
  <si>
    <t xml:space="preserve">Years </t>
  </si>
  <si>
    <t>Status</t>
  </si>
  <si>
    <t>Years</t>
  </si>
  <si>
    <t>Column Labels</t>
  </si>
  <si>
    <t>Count of Salesman</t>
  </si>
  <si>
    <t>(All)</t>
  </si>
  <si>
    <t>Achievement</t>
  </si>
  <si>
    <t>Average of Achievement</t>
  </si>
  <si>
    <t>Not Achieved</t>
  </si>
  <si>
    <t>Sum of Actual</t>
  </si>
  <si>
    <t>Sum of Target</t>
  </si>
  <si>
    <t>Months (Date)</t>
  </si>
  <si>
    <t xml:space="preserve"> Total_Actual</t>
  </si>
  <si>
    <t>Rank</t>
  </si>
  <si>
    <t>Timeline</t>
  </si>
  <si>
    <t>Values</t>
  </si>
  <si>
    <t>Forecast</t>
  </si>
  <si>
    <t>Lower Confidence Bound</t>
  </si>
  <si>
    <t>Upper Confidence Bound</t>
  </si>
  <si>
    <t>Total Sales</t>
  </si>
  <si>
    <t>Total Quantity</t>
  </si>
  <si>
    <t>Sum of Qty</t>
  </si>
  <si>
    <t>Total  Customer</t>
  </si>
  <si>
    <t>Distinct Count of Customer</t>
  </si>
  <si>
    <t>Target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</si>
</sst>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sz val="8"/>
      <name val="Calibri"/>
      <family val="2"/>
      <scheme val="minor"/>
    </font>
    <font>
      <sz val="11"/>
      <color theme="1"/>
      <name val="Calibri"/>
      <family val="2"/>
      <scheme val="minor"/>
    </font>
    <font>
      <b/>
      <sz val="14"/>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9" fontId="0" fillId="0" borderId="0" xfId="0" applyNumberFormat="1"/>
    <xf numFmtId="0" fontId="0" fillId="0" borderId="1" xfId="0" applyBorder="1"/>
    <xf numFmtId="14" fontId="0" fillId="0" borderId="0" xfId="0" applyNumberFormat="1"/>
    <xf numFmtId="2" fontId="0" fillId="0" borderId="0" xfId="0" applyNumberFormat="1"/>
    <xf numFmtId="0" fontId="0" fillId="0" borderId="0" xfId="0" applyNumberFormat="1"/>
    <xf numFmtId="0" fontId="3" fillId="0" borderId="0" xfId="0" applyFont="1"/>
    <xf numFmtId="0" fontId="4" fillId="0" borderId="0" xfId="0" applyFont="1"/>
    <xf numFmtId="9" fontId="4" fillId="0" borderId="0" xfId="1" applyFont="1"/>
  </cellXfs>
  <cellStyles count="2">
    <cellStyle name="Normal" xfId="0" builtinId="0"/>
    <cellStyle name="Percent" xfId="1" builtinId="5"/>
  </cellStyles>
  <dxfs count="9">
    <dxf>
      <numFmt numFmtId="2" formatCode="0.00"/>
    </dxf>
    <dxf>
      <numFmt numFmtId="2" formatCode="0.00"/>
    </dxf>
    <dxf>
      <numFmt numFmtId="19" formatCode="dd/mm/yyyy"/>
    </dxf>
    <dxf>
      <numFmt numFmtId="0" formatCode="General"/>
    </dxf>
    <dxf>
      <numFmt numFmtId="0" formatCode="General"/>
    </dxf>
    <dxf>
      <numFmt numFmtId="13" formatCode="0%"/>
    </dxf>
    <dxf>
      <numFmt numFmtId="0" formatCode="General"/>
    </dxf>
    <dxf>
      <border>
        <bottom style="thin">
          <color indexed="64"/>
        </bottom>
      </border>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Olahan'!$P$101</c:f>
              <c:strCache>
                <c:ptCount val="1"/>
                <c:pt idx="0">
                  <c:v>Sum of Actual</c:v>
                </c:pt>
              </c:strCache>
            </c:strRef>
          </c:tx>
          <c:spPr>
            <a:solidFill>
              <a:schemeClr val="accent1"/>
            </a:solidFill>
            <a:ln>
              <a:noFill/>
            </a:ln>
            <a:effectLst/>
          </c:spPr>
          <c:invertIfNegative val="0"/>
          <c:cat>
            <c:multiLvlStrRef>
              <c:f>'Data Olahan'!$N$102:$O$167</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Agus</c:v>
                  </c:pt>
                  <c:pt idx="12">
                    <c:v>Andi</c:v>
                  </c:pt>
                  <c:pt idx="24">
                    <c:v>Budi</c:v>
                  </c:pt>
                  <c:pt idx="36">
                    <c:v>Rina</c:v>
                  </c:pt>
                  <c:pt idx="48">
                    <c:v>Sari</c:v>
                  </c:pt>
                </c:lvl>
              </c:multiLvlStrCache>
            </c:multiLvlStrRef>
          </c:cat>
          <c:val>
            <c:numRef>
              <c:f>'Data Olahan'!$P$102:$P$167</c:f>
              <c:numCache>
                <c:formatCode>General</c:formatCode>
                <c:ptCount val="60"/>
                <c:pt idx="0">
                  <c:v>148270000</c:v>
                </c:pt>
                <c:pt idx="1">
                  <c:v>114450000</c:v>
                </c:pt>
                <c:pt idx="2">
                  <c:v>110750000</c:v>
                </c:pt>
                <c:pt idx="3">
                  <c:v>179705000</c:v>
                </c:pt>
                <c:pt idx="4">
                  <c:v>182365000</c:v>
                </c:pt>
                <c:pt idx="5">
                  <c:v>131350000</c:v>
                </c:pt>
                <c:pt idx="6">
                  <c:v>177560000</c:v>
                </c:pt>
                <c:pt idx="7">
                  <c:v>66890000</c:v>
                </c:pt>
                <c:pt idx="8">
                  <c:v>105470000</c:v>
                </c:pt>
                <c:pt idx="9">
                  <c:v>147310000</c:v>
                </c:pt>
                <c:pt idx="10">
                  <c:v>129000000</c:v>
                </c:pt>
                <c:pt idx="11">
                  <c:v>176845000</c:v>
                </c:pt>
                <c:pt idx="12">
                  <c:v>194220000</c:v>
                </c:pt>
                <c:pt idx="13">
                  <c:v>128775000</c:v>
                </c:pt>
                <c:pt idx="14">
                  <c:v>101630000</c:v>
                </c:pt>
                <c:pt idx="15">
                  <c:v>178305000</c:v>
                </c:pt>
                <c:pt idx="16">
                  <c:v>267675000</c:v>
                </c:pt>
                <c:pt idx="17">
                  <c:v>206910000</c:v>
                </c:pt>
                <c:pt idx="18">
                  <c:v>191425000</c:v>
                </c:pt>
                <c:pt idx="19">
                  <c:v>183880000</c:v>
                </c:pt>
                <c:pt idx="20">
                  <c:v>253445000</c:v>
                </c:pt>
                <c:pt idx="21">
                  <c:v>71005000</c:v>
                </c:pt>
                <c:pt idx="22">
                  <c:v>172350000</c:v>
                </c:pt>
                <c:pt idx="23">
                  <c:v>113150000</c:v>
                </c:pt>
                <c:pt idx="24">
                  <c:v>234810000</c:v>
                </c:pt>
                <c:pt idx="25">
                  <c:v>175955000</c:v>
                </c:pt>
                <c:pt idx="26">
                  <c:v>170395000</c:v>
                </c:pt>
                <c:pt idx="27">
                  <c:v>171145000</c:v>
                </c:pt>
                <c:pt idx="28">
                  <c:v>249765000</c:v>
                </c:pt>
                <c:pt idx="29">
                  <c:v>105900000</c:v>
                </c:pt>
                <c:pt idx="30">
                  <c:v>209955000</c:v>
                </c:pt>
                <c:pt idx="31">
                  <c:v>129575000</c:v>
                </c:pt>
                <c:pt idx="32">
                  <c:v>211555000</c:v>
                </c:pt>
                <c:pt idx="33">
                  <c:v>210025000</c:v>
                </c:pt>
                <c:pt idx="34">
                  <c:v>95485000</c:v>
                </c:pt>
                <c:pt idx="35">
                  <c:v>158010000</c:v>
                </c:pt>
                <c:pt idx="36">
                  <c:v>150835000</c:v>
                </c:pt>
                <c:pt idx="37">
                  <c:v>189475000</c:v>
                </c:pt>
                <c:pt idx="38">
                  <c:v>104315000</c:v>
                </c:pt>
                <c:pt idx="39">
                  <c:v>100685000</c:v>
                </c:pt>
                <c:pt idx="40">
                  <c:v>101955000</c:v>
                </c:pt>
                <c:pt idx="41">
                  <c:v>266845000</c:v>
                </c:pt>
                <c:pt idx="42">
                  <c:v>206945000</c:v>
                </c:pt>
                <c:pt idx="43">
                  <c:v>191045000</c:v>
                </c:pt>
                <c:pt idx="44">
                  <c:v>150905000</c:v>
                </c:pt>
                <c:pt idx="45">
                  <c:v>149015000</c:v>
                </c:pt>
                <c:pt idx="46">
                  <c:v>168265000</c:v>
                </c:pt>
                <c:pt idx="47">
                  <c:v>148615000</c:v>
                </c:pt>
                <c:pt idx="48">
                  <c:v>171660000</c:v>
                </c:pt>
                <c:pt idx="49">
                  <c:v>156230000</c:v>
                </c:pt>
                <c:pt idx="50">
                  <c:v>172980000</c:v>
                </c:pt>
                <c:pt idx="51">
                  <c:v>81770000</c:v>
                </c:pt>
                <c:pt idx="52">
                  <c:v>92620000</c:v>
                </c:pt>
                <c:pt idx="53">
                  <c:v>163760000</c:v>
                </c:pt>
                <c:pt idx="54">
                  <c:v>209330000</c:v>
                </c:pt>
                <c:pt idx="55">
                  <c:v>171540000</c:v>
                </c:pt>
                <c:pt idx="56">
                  <c:v>195540000</c:v>
                </c:pt>
                <c:pt idx="57">
                  <c:v>214270000</c:v>
                </c:pt>
                <c:pt idx="58">
                  <c:v>175595000</c:v>
                </c:pt>
                <c:pt idx="59">
                  <c:v>212735000</c:v>
                </c:pt>
              </c:numCache>
            </c:numRef>
          </c:val>
          <c:extLst>
            <c:ext xmlns:c16="http://schemas.microsoft.com/office/drawing/2014/chart" uri="{C3380CC4-5D6E-409C-BE32-E72D297353CC}">
              <c16:uniqueId val="{00000000-77FF-4A3A-A59E-756230747FD0}"/>
            </c:ext>
          </c:extLst>
        </c:ser>
        <c:ser>
          <c:idx val="1"/>
          <c:order val="1"/>
          <c:tx>
            <c:strRef>
              <c:f>'Data Olahan'!$Q$101</c:f>
              <c:strCache>
                <c:ptCount val="1"/>
                <c:pt idx="0">
                  <c:v>Sum of Target</c:v>
                </c:pt>
              </c:strCache>
            </c:strRef>
          </c:tx>
          <c:spPr>
            <a:solidFill>
              <a:schemeClr val="accent2"/>
            </a:solidFill>
            <a:ln>
              <a:noFill/>
            </a:ln>
            <a:effectLst/>
          </c:spPr>
          <c:invertIfNegative val="0"/>
          <c:cat>
            <c:multiLvlStrRef>
              <c:f>'Data Olahan'!$N$102:$O$167</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Agus</c:v>
                  </c:pt>
                  <c:pt idx="12">
                    <c:v>Andi</c:v>
                  </c:pt>
                  <c:pt idx="24">
                    <c:v>Budi</c:v>
                  </c:pt>
                  <c:pt idx="36">
                    <c:v>Rina</c:v>
                  </c:pt>
                  <c:pt idx="48">
                    <c:v>Sari</c:v>
                  </c:pt>
                </c:lvl>
              </c:multiLvlStrCache>
            </c:multiLvlStrRef>
          </c:cat>
          <c:val>
            <c:numRef>
              <c:f>'Data Olahan'!$Q$102:$Q$167</c:f>
              <c:numCache>
                <c:formatCode>General</c:formatCode>
                <c:ptCount val="60"/>
                <c:pt idx="0">
                  <c:v>494429768</c:v>
                </c:pt>
                <c:pt idx="1">
                  <c:v>438202318</c:v>
                </c:pt>
                <c:pt idx="2">
                  <c:v>534429847</c:v>
                </c:pt>
                <c:pt idx="3">
                  <c:v>534429847</c:v>
                </c:pt>
                <c:pt idx="4">
                  <c:v>414761700</c:v>
                </c:pt>
                <c:pt idx="5">
                  <c:v>516629413</c:v>
                </c:pt>
                <c:pt idx="6">
                  <c:v>494429768</c:v>
                </c:pt>
                <c:pt idx="7">
                  <c:v>492394117</c:v>
                </c:pt>
                <c:pt idx="8">
                  <c:v>494429768</c:v>
                </c:pt>
                <c:pt idx="9">
                  <c:v>441380318</c:v>
                </c:pt>
                <c:pt idx="10">
                  <c:v>376172492</c:v>
                </c:pt>
                <c:pt idx="11">
                  <c:v>438202318</c:v>
                </c:pt>
                <c:pt idx="12">
                  <c:v>555148440</c:v>
                </c:pt>
                <c:pt idx="13">
                  <c:v>512756543</c:v>
                </c:pt>
                <c:pt idx="14">
                  <c:v>456018469</c:v>
                </c:pt>
                <c:pt idx="15">
                  <c:v>555148440</c:v>
                </c:pt>
                <c:pt idx="16">
                  <c:v>555148440</c:v>
                </c:pt>
                <c:pt idx="17">
                  <c:v>477049986</c:v>
                </c:pt>
                <c:pt idx="18">
                  <c:v>450598722</c:v>
                </c:pt>
                <c:pt idx="19">
                  <c:v>477049986</c:v>
                </c:pt>
                <c:pt idx="20">
                  <c:v>362719821</c:v>
                </c:pt>
                <c:pt idx="21">
                  <c:v>489501094</c:v>
                </c:pt>
                <c:pt idx="22">
                  <c:v>512756543</c:v>
                </c:pt>
                <c:pt idx="23">
                  <c:v>489501094</c:v>
                </c:pt>
                <c:pt idx="24">
                  <c:v>586356936</c:v>
                </c:pt>
                <c:pt idx="25">
                  <c:v>323811309</c:v>
                </c:pt>
                <c:pt idx="26">
                  <c:v>581403803</c:v>
                </c:pt>
                <c:pt idx="27">
                  <c:v>313993616</c:v>
                </c:pt>
                <c:pt idx="28">
                  <c:v>497707145</c:v>
                </c:pt>
                <c:pt idx="29">
                  <c:v>555825106</c:v>
                </c:pt>
                <c:pt idx="30">
                  <c:v>556351160</c:v>
                </c:pt>
                <c:pt idx="31">
                  <c:v>581403803</c:v>
                </c:pt>
                <c:pt idx="32">
                  <c:v>397170179</c:v>
                </c:pt>
                <c:pt idx="33">
                  <c:v>586356936</c:v>
                </c:pt>
                <c:pt idx="34">
                  <c:v>313993616</c:v>
                </c:pt>
                <c:pt idx="35">
                  <c:v>317407707</c:v>
                </c:pt>
                <c:pt idx="36">
                  <c:v>327980786</c:v>
                </c:pt>
                <c:pt idx="37">
                  <c:v>426869098</c:v>
                </c:pt>
                <c:pt idx="38">
                  <c:v>306727352</c:v>
                </c:pt>
                <c:pt idx="39">
                  <c:v>373180748</c:v>
                </c:pt>
                <c:pt idx="40">
                  <c:v>481011760</c:v>
                </c:pt>
                <c:pt idx="41">
                  <c:v>533058667</c:v>
                </c:pt>
                <c:pt idx="42">
                  <c:v>373180748</c:v>
                </c:pt>
                <c:pt idx="43">
                  <c:v>445738123</c:v>
                </c:pt>
                <c:pt idx="44">
                  <c:v>445738123</c:v>
                </c:pt>
                <c:pt idx="45">
                  <c:v>373180748</c:v>
                </c:pt>
                <c:pt idx="46">
                  <c:v>377540700</c:v>
                </c:pt>
                <c:pt idx="47">
                  <c:v>533058667</c:v>
                </c:pt>
                <c:pt idx="48">
                  <c:v>313079705</c:v>
                </c:pt>
                <c:pt idx="49">
                  <c:v>350125110</c:v>
                </c:pt>
                <c:pt idx="50">
                  <c:v>313079705</c:v>
                </c:pt>
                <c:pt idx="51">
                  <c:v>445304373</c:v>
                </c:pt>
                <c:pt idx="52">
                  <c:v>445304373</c:v>
                </c:pt>
                <c:pt idx="53">
                  <c:v>350125110</c:v>
                </c:pt>
                <c:pt idx="54">
                  <c:v>497321332</c:v>
                </c:pt>
                <c:pt idx="55">
                  <c:v>354735349</c:v>
                </c:pt>
                <c:pt idx="56">
                  <c:v>350125110</c:v>
                </c:pt>
                <c:pt idx="57">
                  <c:v>347981463</c:v>
                </c:pt>
                <c:pt idx="58">
                  <c:v>322869545</c:v>
                </c:pt>
                <c:pt idx="59">
                  <c:v>470253837</c:v>
                </c:pt>
              </c:numCache>
            </c:numRef>
          </c:val>
          <c:extLst>
            <c:ext xmlns:c16="http://schemas.microsoft.com/office/drawing/2014/chart" uri="{C3380CC4-5D6E-409C-BE32-E72D297353CC}">
              <c16:uniqueId val="{00000001-77FF-4A3A-A59E-756230747FD0}"/>
            </c:ext>
          </c:extLst>
        </c:ser>
        <c:dLbls>
          <c:showLegendKey val="0"/>
          <c:showVal val="0"/>
          <c:showCatName val="0"/>
          <c:showSerName val="0"/>
          <c:showPercent val="0"/>
          <c:showBubbleSize val="0"/>
        </c:dLbls>
        <c:gapWidth val="150"/>
        <c:axId val="315758768"/>
        <c:axId val="315756368"/>
      </c:barChart>
      <c:catAx>
        <c:axId val="3157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56368"/>
        <c:crosses val="autoZero"/>
        <c:auto val="1"/>
        <c:lblAlgn val="ctr"/>
        <c:lblOffset val="100"/>
        <c:noMultiLvlLbl val="0"/>
      </c:catAx>
      <c:valAx>
        <c:axId val="3157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75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Pembelian Toko Bangunan 44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Olahan'!$B$245:$B$246</c:f>
              <c:strCache>
                <c:ptCount val="1"/>
                <c:pt idx="0">
                  <c:v>Toko Bangunan 44</c:v>
                </c:pt>
              </c:strCache>
            </c:strRef>
          </c:tx>
          <c:spPr>
            <a:ln w="28575" cap="rnd">
              <a:solidFill>
                <a:schemeClr val="accent1"/>
              </a:solidFill>
              <a:round/>
            </a:ln>
            <a:effectLst/>
          </c:spPr>
          <c:marker>
            <c:symbol val="none"/>
          </c:marker>
          <c:cat>
            <c:strRef>
              <c:f>'Data Olahan'!$A$247:$A$252</c:f>
              <c:strCache>
                <c:ptCount val="5"/>
                <c:pt idx="0">
                  <c:v>Jan</c:v>
                </c:pt>
                <c:pt idx="1">
                  <c:v>Apr</c:v>
                </c:pt>
                <c:pt idx="2">
                  <c:v>Sep</c:v>
                </c:pt>
                <c:pt idx="3">
                  <c:v>Oct</c:v>
                </c:pt>
                <c:pt idx="4">
                  <c:v>Nov</c:v>
                </c:pt>
              </c:strCache>
            </c:strRef>
          </c:cat>
          <c:val>
            <c:numRef>
              <c:f>'Data Olahan'!$B$247:$B$252</c:f>
              <c:numCache>
                <c:formatCode>General</c:formatCode>
                <c:ptCount val="5"/>
                <c:pt idx="0">
                  <c:v>3960000</c:v>
                </c:pt>
                <c:pt idx="1">
                  <c:v>1320000</c:v>
                </c:pt>
                <c:pt idx="2">
                  <c:v>29865000</c:v>
                </c:pt>
                <c:pt idx="3">
                  <c:v>7410000</c:v>
                </c:pt>
                <c:pt idx="4">
                  <c:v>1800000</c:v>
                </c:pt>
              </c:numCache>
            </c:numRef>
          </c:val>
          <c:smooth val="0"/>
          <c:extLst>
            <c:ext xmlns:c16="http://schemas.microsoft.com/office/drawing/2014/chart" uri="{C3380CC4-5D6E-409C-BE32-E72D297353CC}">
              <c16:uniqueId val="{00000000-7EF2-470D-AD4E-6E9AE19905A6}"/>
            </c:ext>
          </c:extLst>
        </c:ser>
        <c:dLbls>
          <c:showLegendKey val="0"/>
          <c:showVal val="0"/>
          <c:showCatName val="0"/>
          <c:showSerName val="0"/>
          <c:showPercent val="0"/>
          <c:showBubbleSize val="0"/>
        </c:dLbls>
        <c:smooth val="0"/>
        <c:axId val="58371439"/>
        <c:axId val="58393999"/>
      </c:lineChart>
      <c:catAx>
        <c:axId val="58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3999"/>
        <c:crosses val="autoZero"/>
        <c:auto val="1"/>
        <c:lblAlgn val="ctr"/>
        <c:lblOffset val="100"/>
        <c:noMultiLvlLbl val="0"/>
      </c:catAx>
      <c:valAx>
        <c:axId val="5839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Trend</a:t>
            </a:r>
            <a:r>
              <a:rPr lang="en-US" baseline="0"/>
              <a:t> Revenue</a:t>
            </a:r>
            <a:r>
              <a:rPr lang="en-US"/>
              <a:t>  Periode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Olahan'!$B$3</c:f>
              <c:strCache>
                <c:ptCount val="1"/>
                <c:pt idx="0">
                  <c:v>Total</c:v>
                </c:pt>
              </c:strCache>
            </c:strRef>
          </c:tx>
          <c:spPr>
            <a:ln w="28575" cap="rnd">
              <a:solidFill>
                <a:schemeClr val="accent1"/>
              </a:solidFill>
              <a:round/>
            </a:ln>
            <a:effectLst/>
          </c:spPr>
          <c:marker>
            <c:symbol val="none"/>
          </c:marker>
          <c:cat>
            <c:multiLvlStrRef>
              <c:f>'Data Olahan'!$A$4:$A$17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'Data Olahan'!$B$4:$B$17</c:f>
              <c:numCache>
                <c:formatCode>General</c:formatCode>
                <c:ptCount val="12"/>
                <c:pt idx="0">
                  <c:v>194220000</c:v>
                </c:pt>
                <c:pt idx="1">
                  <c:v>128775000</c:v>
                </c:pt>
                <c:pt idx="2">
                  <c:v>101630000</c:v>
                </c:pt>
                <c:pt idx="3">
                  <c:v>178305000</c:v>
                </c:pt>
                <c:pt idx="4">
                  <c:v>267675000</c:v>
                </c:pt>
                <c:pt idx="5">
                  <c:v>206910000</c:v>
                </c:pt>
                <c:pt idx="6">
                  <c:v>191425000</c:v>
                </c:pt>
                <c:pt idx="7">
                  <c:v>183880000</c:v>
                </c:pt>
                <c:pt idx="8">
                  <c:v>253445000</c:v>
                </c:pt>
                <c:pt idx="9">
                  <c:v>71005000</c:v>
                </c:pt>
                <c:pt idx="10">
                  <c:v>172350000</c:v>
                </c:pt>
                <c:pt idx="11">
                  <c:v>113150000</c:v>
                </c:pt>
              </c:numCache>
            </c:numRef>
          </c:val>
          <c:smooth val="0"/>
          <c:extLst>
            <c:ext xmlns:c16="http://schemas.microsoft.com/office/drawing/2014/chart" uri="{C3380CC4-5D6E-409C-BE32-E72D297353CC}">
              <c16:uniqueId val="{00000000-716E-48A5-9A76-D3A514D13604}"/>
            </c:ext>
          </c:extLst>
        </c:ser>
        <c:dLbls>
          <c:showLegendKey val="0"/>
          <c:showVal val="0"/>
          <c:showCatName val="0"/>
          <c:showSerName val="0"/>
          <c:showPercent val="0"/>
          <c:showBubbleSize val="0"/>
        </c:dLbls>
        <c:smooth val="0"/>
        <c:axId val="1052940000"/>
        <c:axId val="1052953920"/>
      </c:lineChart>
      <c:catAx>
        <c:axId val="105294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53920"/>
        <c:crosses val="autoZero"/>
        <c:auto val="1"/>
        <c:lblAlgn val="ctr"/>
        <c:lblOffset val="100"/>
        <c:noMultiLvlLbl val="0"/>
      </c:catAx>
      <c:valAx>
        <c:axId val="105295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4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Revenue per 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Olahan'!$B$24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Olahan'!$A$25:$A$29</c:f>
              <c:strCache>
                <c:ptCount val="4"/>
                <c:pt idx="0">
                  <c:v>Panel Dinding</c:v>
                </c:pt>
                <c:pt idx="1">
                  <c:v>Bata Ringan 10cm</c:v>
                </c:pt>
                <c:pt idx="2">
                  <c:v>Bata Ringan 7.5cm</c:v>
                </c:pt>
                <c:pt idx="3">
                  <c:v>Semen Mortar</c:v>
                </c:pt>
              </c:strCache>
            </c:strRef>
          </c:cat>
          <c:val>
            <c:numRef>
              <c:f>'Data Olahan'!$B$25:$B$29</c:f>
              <c:numCache>
                <c:formatCode>General</c:formatCode>
                <c:ptCount val="4"/>
                <c:pt idx="0">
                  <c:v>866280000</c:v>
                </c:pt>
                <c:pt idx="1">
                  <c:v>411600000</c:v>
                </c:pt>
                <c:pt idx="2">
                  <c:v>409955000</c:v>
                </c:pt>
                <c:pt idx="3">
                  <c:v>374935000</c:v>
                </c:pt>
              </c:numCache>
            </c:numRef>
          </c:val>
          <c:extLst>
            <c:ext xmlns:c16="http://schemas.microsoft.com/office/drawing/2014/chart" uri="{C3380CC4-5D6E-409C-BE32-E72D297353CC}">
              <c16:uniqueId val="{00000000-A72E-4E53-84A2-C9EFD20BF473}"/>
            </c:ext>
          </c:extLst>
        </c:ser>
        <c:dLbls>
          <c:showLegendKey val="0"/>
          <c:showVal val="0"/>
          <c:showCatName val="0"/>
          <c:showSerName val="0"/>
          <c:showPercent val="0"/>
          <c:showBubbleSize val="0"/>
        </c:dLbls>
        <c:gapWidth val="219"/>
        <c:overlap val="-27"/>
        <c:axId val="378178703"/>
        <c:axId val="378179663"/>
      </c:barChart>
      <c:catAx>
        <c:axId val="3781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79663"/>
        <c:crosses val="autoZero"/>
        <c:auto val="1"/>
        <c:lblAlgn val="ctr"/>
        <c:lblOffset val="100"/>
        <c:noMultiLvlLbl val="0"/>
      </c:catAx>
      <c:valAx>
        <c:axId val="37817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Revenue per</a:t>
            </a:r>
            <a:r>
              <a:rPr lang="en-ID" baseline="0"/>
              <a:t> K</a:t>
            </a:r>
            <a:r>
              <a:rPr lang="en-ID"/>
              <a:t>ota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Olahan'!$B$41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Olahan'!$A$42:$A$50</c:f>
              <c:strCache>
                <c:ptCount val="8"/>
                <c:pt idx="0">
                  <c:v>Surabaya</c:v>
                </c:pt>
                <c:pt idx="1">
                  <c:v>Jakarta</c:v>
                </c:pt>
                <c:pt idx="2">
                  <c:v>Bogor</c:v>
                </c:pt>
                <c:pt idx="3">
                  <c:v>Depok</c:v>
                </c:pt>
                <c:pt idx="4">
                  <c:v>Semarang</c:v>
                </c:pt>
                <c:pt idx="5">
                  <c:v>Bandung</c:v>
                </c:pt>
                <c:pt idx="6">
                  <c:v>Bekasi</c:v>
                </c:pt>
                <c:pt idx="7">
                  <c:v>Tangerang</c:v>
                </c:pt>
              </c:strCache>
            </c:strRef>
          </c:cat>
          <c:val>
            <c:numRef>
              <c:f>'Data Olahan'!$B$42:$B$50</c:f>
              <c:numCache>
                <c:formatCode>General</c:formatCode>
                <c:ptCount val="8"/>
                <c:pt idx="0">
                  <c:v>391445000</c:v>
                </c:pt>
                <c:pt idx="1">
                  <c:v>321625000</c:v>
                </c:pt>
                <c:pt idx="2">
                  <c:v>319885000</c:v>
                </c:pt>
                <c:pt idx="3">
                  <c:v>291895000</c:v>
                </c:pt>
                <c:pt idx="4">
                  <c:v>290595000</c:v>
                </c:pt>
                <c:pt idx="5">
                  <c:v>166625000</c:v>
                </c:pt>
                <c:pt idx="6">
                  <c:v>143095000</c:v>
                </c:pt>
                <c:pt idx="7">
                  <c:v>137605000</c:v>
                </c:pt>
              </c:numCache>
            </c:numRef>
          </c:val>
          <c:extLst>
            <c:ext xmlns:c16="http://schemas.microsoft.com/office/drawing/2014/chart" uri="{C3380CC4-5D6E-409C-BE32-E72D297353CC}">
              <c16:uniqueId val="{00000000-E0EE-4754-A135-A63D0461EE04}"/>
            </c:ext>
          </c:extLst>
        </c:ser>
        <c:dLbls>
          <c:showLegendKey val="0"/>
          <c:showVal val="0"/>
          <c:showCatName val="0"/>
          <c:showSerName val="0"/>
          <c:showPercent val="0"/>
          <c:showBubbleSize val="0"/>
        </c:dLbls>
        <c:gapWidth val="219"/>
        <c:overlap val="-27"/>
        <c:axId val="378180623"/>
        <c:axId val="378185903"/>
      </c:barChart>
      <c:catAx>
        <c:axId val="3781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85903"/>
        <c:crosses val="autoZero"/>
        <c:auto val="1"/>
        <c:lblAlgn val="ctr"/>
        <c:lblOffset val="100"/>
        <c:noMultiLvlLbl val="0"/>
      </c:catAx>
      <c:valAx>
        <c:axId val="37818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Revenue per Salesman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Olahan'!$B$57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Olahan'!$A$58:$A$59</c:f>
              <c:strCache>
                <c:ptCount val="1"/>
                <c:pt idx="0">
                  <c:v>Andi</c:v>
                </c:pt>
              </c:strCache>
            </c:strRef>
          </c:cat>
          <c:val>
            <c:numRef>
              <c:f>'Data Olahan'!$B$58:$B$59</c:f>
              <c:numCache>
                <c:formatCode>General</c:formatCode>
                <c:ptCount val="1"/>
                <c:pt idx="0">
                  <c:v>2062770000</c:v>
                </c:pt>
              </c:numCache>
            </c:numRef>
          </c:val>
          <c:extLst>
            <c:ext xmlns:c16="http://schemas.microsoft.com/office/drawing/2014/chart" uri="{C3380CC4-5D6E-409C-BE32-E72D297353CC}">
              <c16:uniqueId val="{00000000-2F9B-46FD-9BF5-EE27E6E9C5B9}"/>
            </c:ext>
          </c:extLst>
        </c:ser>
        <c:dLbls>
          <c:showLegendKey val="0"/>
          <c:showVal val="0"/>
          <c:showCatName val="0"/>
          <c:showSerName val="0"/>
          <c:showPercent val="0"/>
          <c:showBubbleSize val="0"/>
        </c:dLbls>
        <c:gapWidth val="219"/>
        <c:overlap val="-27"/>
        <c:axId val="378207983"/>
        <c:axId val="378202703"/>
      </c:barChart>
      <c:catAx>
        <c:axId val="37820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02703"/>
        <c:crosses val="autoZero"/>
        <c:auto val="1"/>
        <c:lblAlgn val="ctr"/>
        <c:lblOffset val="100"/>
        <c:noMultiLvlLbl val="0"/>
      </c:catAx>
      <c:valAx>
        <c:axId val="37820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Sales</a:t>
            </a:r>
            <a:r>
              <a:rPr lang="en-ID" baseline="0"/>
              <a:t> Performance-Sari/ Top salesman(2025)</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0"/>
          <c:tx>
            <c:v>Actual</c:v>
          </c:tx>
          <c:spPr>
            <a:solidFill>
              <a:schemeClr val="accent3"/>
            </a:solidFill>
            <a:ln>
              <a:noFill/>
            </a:ln>
            <a:effectLst/>
            <a:sp3d/>
          </c:spPr>
          <c:invertIfNegative val="0"/>
          <c:cat>
            <c:strRef>
              <c:f>'Data Olahan'!$H$79:$H$138</c:f>
              <c:strCache>
                <c:ptCount val="12"/>
                <c:pt idx="0">
                  <c:v>Oct</c:v>
                </c:pt>
                <c:pt idx="1">
                  <c:v>Dec</c:v>
                </c:pt>
                <c:pt idx="2">
                  <c:v>Jul</c:v>
                </c:pt>
                <c:pt idx="3">
                  <c:v>Sep</c:v>
                </c:pt>
                <c:pt idx="4">
                  <c:v>Nov</c:v>
                </c:pt>
                <c:pt idx="5">
                  <c:v>Mar</c:v>
                </c:pt>
                <c:pt idx="6">
                  <c:v>Jan</c:v>
                </c:pt>
                <c:pt idx="7">
                  <c:v>Aug</c:v>
                </c:pt>
                <c:pt idx="8">
                  <c:v>Jun</c:v>
                </c:pt>
                <c:pt idx="9">
                  <c:v>Feb</c:v>
                </c:pt>
                <c:pt idx="10">
                  <c:v>May</c:v>
                </c:pt>
                <c:pt idx="11">
                  <c:v>Apr</c:v>
                </c:pt>
              </c:strCache>
            </c:strRef>
          </c:cat>
          <c:val>
            <c:numRef>
              <c:f>'Data Olahan'!$I$79:$I$138</c:f>
              <c:numCache>
                <c:formatCode>General</c:formatCode>
                <c:ptCount val="12"/>
                <c:pt idx="0">
                  <c:v>214270000</c:v>
                </c:pt>
                <c:pt idx="1">
                  <c:v>212735000</c:v>
                </c:pt>
                <c:pt idx="2">
                  <c:v>209330000</c:v>
                </c:pt>
                <c:pt idx="3">
                  <c:v>195540000</c:v>
                </c:pt>
                <c:pt idx="4">
                  <c:v>175595000</c:v>
                </c:pt>
                <c:pt idx="5">
                  <c:v>172980000</c:v>
                </c:pt>
                <c:pt idx="6">
                  <c:v>171660000</c:v>
                </c:pt>
                <c:pt idx="7">
                  <c:v>171540000</c:v>
                </c:pt>
                <c:pt idx="8">
                  <c:v>163760000</c:v>
                </c:pt>
                <c:pt idx="9">
                  <c:v>156230000</c:v>
                </c:pt>
                <c:pt idx="10">
                  <c:v>92620000</c:v>
                </c:pt>
                <c:pt idx="11">
                  <c:v>81770000</c:v>
                </c:pt>
              </c:numCache>
            </c:numRef>
          </c:val>
          <c:extLst>
            <c:ext xmlns:c16="http://schemas.microsoft.com/office/drawing/2014/chart" uri="{C3380CC4-5D6E-409C-BE32-E72D297353CC}">
              <c16:uniqueId val="{00000000-7737-455A-98C1-8FC7FB8F6D26}"/>
            </c:ext>
          </c:extLst>
        </c:ser>
        <c:ser>
          <c:idx val="3"/>
          <c:order val="1"/>
          <c:tx>
            <c:v>Target</c:v>
          </c:tx>
          <c:spPr>
            <a:solidFill>
              <a:schemeClr val="accent4"/>
            </a:solidFill>
            <a:ln>
              <a:noFill/>
            </a:ln>
            <a:effectLst/>
            <a:sp3d/>
          </c:spPr>
          <c:invertIfNegative val="0"/>
          <c:cat>
            <c:strRef>
              <c:f>'Data Olahan'!$H$79:$H$138</c:f>
              <c:strCache>
                <c:ptCount val="12"/>
                <c:pt idx="0">
                  <c:v>Oct</c:v>
                </c:pt>
                <c:pt idx="1">
                  <c:v>Dec</c:v>
                </c:pt>
                <c:pt idx="2">
                  <c:v>Jul</c:v>
                </c:pt>
                <c:pt idx="3">
                  <c:v>Sep</c:v>
                </c:pt>
                <c:pt idx="4">
                  <c:v>Nov</c:v>
                </c:pt>
                <c:pt idx="5">
                  <c:v>Mar</c:v>
                </c:pt>
                <c:pt idx="6">
                  <c:v>Jan</c:v>
                </c:pt>
                <c:pt idx="7">
                  <c:v>Aug</c:v>
                </c:pt>
                <c:pt idx="8">
                  <c:v>Jun</c:v>
                </c:pt>
                <c:pt idx="9">
                  <c:v>Feb</c:v>
                </c:pt>
                <c:pt idx="10">
                  <c:v>May</c:v>
                </c:pt>
                <c:pt idx="11">
                  <c:v>Apr</c:v>
                </c:pt>
              </c:strCache>
            </c:strRef>
          </c:cat>
          <c:val>
            <c:numRef>
              <c:f>'Data Olahan'!$J$79:$J$138</c:f>
              <c:numCache>
                <c:formatCode>General</c:formatCode>
                <c:ptCount val="12"/>
                <c:pt idx="0">
                  <c:v>445304373</c:v>
                </c:pt>
                <c:pt idx="1">
                  <c:v>470253837</c:v>
                </c:pt>
                <c:pt idx="2">
                  <c:v>497321332</c:v>
                </c:pt>
                <c:pt idx="3">
                  <c:v>350125110</c:v>
                </c:pt>
                <c:pt idx="4">
                  <c:v>322869545</c:v>
                </c:pt>
                <c:pt idx="5">
                  <c:v>313079705</c:v>
                </c:pt>
                <c:pt idx="6">
                  <c:v>313079705</c:v>
                </c:pt>
                <c:pt idx="7">
                  <c:v>354735349</c:v>
                </c:pt>
                <c:pt idx="8">
                  <c:v>350125110</c:v>
                </c:pt>
                <c:pt idx="9">
                  <c:v>350125110</c:v>
                </c:pt>
                <c:pt idx="10">
                  <c:v>347981463</c:v>
                </c:pt>
                <c:pt idx="11">
                  <c:v>445304373</c:v>
                </c:pt>
              </c:numCache>
            </c:numRef>
          </c:val>
          <c:extLst>
            <c:ext xmlns:c16="http://schemas.microsoft.com/office/drawing/2014/chart" uri="{C3380CC4-5D6E-409C-BE32-E72D297353CC}">
              <c16:uniqueId val="{00000001-7737-455A-98C1-8FC7FB8F6D26}"/>
            </c:ext>
          </c:extLst>
        </c:ser>
        <c:dLbls>
          <c:showLegendKey val="0"/>
          <c:showVal val="0"/>
          <c:showCatName val="0"/>
          <c:showSerName val="0"/>
          <c:showPercent val="0"/>
          <c:showBubbleSize val="0"/>
        </c:dLbls>
        <c:gapWidth val="150"/>
        <c:shape val="box"/>
        <c:axId val="315800048"/>
        <c:axId val="315800528"/>
        <c:axId val="0"/>
      </c:bar3DChart>
      <c:catAx>
        <c:axId val="31580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00528"/>
        <c:crosses val="autoZero"/>
        <c:auto val="1"/>
        <c:lblAlgn val="ctr"/>
        <c:lblOffset val="100"/>
        <c:noMultiLvlLbl val="0"/>
      </c:catAx>
      <c:valAx>
        <c:axId val="3158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00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Top 5 Customer by Sales (2025)</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Olahan'!$L$186</c:f>
              <c:strCache>
                <c:ptCount val="1"/>
                <c:pt idx="0">
                  <c:v> Total_Actual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Olahan'!$K$187:$K$191</c:f>
              <c:strCache>
                <c:ptCount val="5"/>
                <c:pt idx="0">
                  <c:v>Toko Bangunan 44</c:v>
                </c:pt>
                <c:pt idx="1">
                  <c:v>Toko Bangunan 40</c:v>
                </c:pt>
                <c:pt idx="2">
                  <c:v>Toko Bangunan 30</c:v>
                </c:pt>
                <c:pt idx="3">
                  <c:v>Toko Bangunan 22</c:v>
                </c:pt>
                <c:pt idx="4">
                  <c:v>Toko Bangunan 4</c:v>
                </c:pt>
              </c:strCache>
            </c:strRef>
          </c:cat>
          <c:val>
            <c:numRef>
              <c:f>'Data Olahan'!$L$187:$L$191</c:f>
              <c:numCache>
                <c:formatCode>General</c:formatCode>
                <c:ptCount val="5"/>
                <c:pt idx="0">
                  <c:v>308930000</c:v>
                </c:pt>
                <c:pt idx="1">
                  <c:v>274350000</c:v>
                </c:pt>
                <c:pt idx="2">
                  <c:v>271365000</c:v>
                </c:pt>
                <c:pt idx="3">
                  <c:v>263485000</c:v>
                </c:pt>
                <c:pt idx="4">
                  <c:v>256130000</c:v>
                </c:pt>
              </c:numCache>
            </c:numRef>
          </c:val>
          <c:extLst>
            <c:ext xmlns:c16="http://schemas.microsoft.com/office/drawing/2014/chart" uri="{C3380CC4-5D6E-409C-BE32-E72D297353CC}">
              <c16:uniqueId val="{00000000-96BA-411A-8286-1C8B13F97B6C}"/>
            </c:ext>
          </c:extLst>
        </c:ser>
        <c:dLbls>
          <c:showLegendKey val="0"/>
          <c:showVal val="0"/>
          <c:showCatName val="0"/>
          <c:showSerName val="0"/>
          <c:showPercent val="0"/>
          <c:showBubbleSize val="0"/>
        </c:dLbls>
        <c:gapWidth val="150"/>
        <c:shape val="box"/>
        <c:axId val="445474752"/>
        <c:axId val="445479072"/>
        <c:axId val="0"/>
      </c:bar3DChart>
      <c:catAx>
        <c:axId val="44547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79072"/>
        <c:crosses val="autoZero"/>
        <c:auto val="1"/>
        <c:lblAlgn val="ctr"/>
        <c:lblOffset val="100"/>
        <c:noMultiLvlLbl val="0"/>
      </c:catAx>
      <c:valAx>
        <c:axId val="4454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74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[sales_project_simulation.xlsx]Data Olahan!PivotTable2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Pembelian Toko Bangunan 44/ Top Customer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Olahan'!$B$245:$B$246</c:f>
              <c:strCache>
                <c:ptCount val="1"/>
                <c:pt idx="0">
                  <c:v>Toko Bangunan 44</c:v>
                </c:pt>
              </c:strCache>
            </c:strRef>
          </c:tx>
          <c:spPr>
            <a:ln w="28575" cap="rnd">
              <a:solidFill>
                <a:schemeClr val="accent1"/>
              </a:solidFill>
              <a:round/>
            </a:ln>
            <a:effectLst/>
          </c:spPr>
          <c:marker>
            <c:symbol val="none"/>
          </c:marker>
          <c:cat>
            <c:strRef>
              <c:f>'Data Olahan'!$A$247:$A$252</c:f>
              <c:strCache>
                <c:ptCount val="5"/>
                <c:pt idx="0">
                  <c:v>Jan</c:v>
                </c:pt>
                <c:pt idx="1">
                  <c:v>Apr</c:v>
                </c:pt>
                <c:pt idx="2">
                  <c:v>Sep</c:v>
                </c:pt>
                <c:pt idx="3">
                  <c:v>Oct</c:v>
                </c:pt>
                <c:pt idx="4">
                  <c:v>Nov</c:v>
                </c:pt>
              </c:strCache>
            </c:strRef>
          </c:cat>
          <c:val>
            <c:numRef>
              <c:f>'Data Olahan'!$B$247:$B$252</c:f>
              <c:numCache>
                <c:formatCode>General</c:formatCode>
                <c:ptCount val="5"/>
                <c:pt idx="0">
                  <c:v>3960000</c:v>
                </c:pt>
                <c:pt idx="1">
                  <c:v>1320000</c:v>
                </c:pt>
                <c:pt idx="2">
                  <c:v>29865000</c:v>
                </c:pt>
                <c:pt idx="3">
                  <c:v>7410000</c:v>
                </c:pt>
                <c:pt idx="4">
                  <c:v>1800000</c:v>
                </c:pt>
              </c:numCache>
            </c:numRef>
          </c:val>
          <c:smooth val="0"/>
          <c:extLst>
            <c:ext xmlns:c16="http://schemas.microsoft.com/office/drawing/2014/chart" uri="{C3380CC4-5D6E-409C-BE32-E72D297353CC}">
              <c16:uniqueId val="{00000000-370E-48DE-99F3-1365070258BA}"/>
            </c:ext>
          </c:extLst>
        </c:ser>
        <c:dLbls>
          <c:showLegendKey val="0"/>
          <c:showVal val="0"/>
          <c:showCatName val="0"/>
          <c:showSerName val="0"/>
          <c:showPercent val="0"/>
          <c:showBubbleSize val="0"/>
        </c:dLbls>
        <c:smooth val="0"/>
        <c:axId val="58371439"/>
        <c:axId val="58393999"/>
      </c:lineChart>
      <c:catAx>
        <c:axId val="5837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3999"/>
        <c:crosses val="autoZero"/>
        <c:auto val="1"/>
        <c:lblAlgn val="ctr"/>
        <c:lblOffset val="100"/>
        <c:noMultiLvlLbl val="0"/>
      </c:catAx>
      <c:valAx>
        <c:axId val="5839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Prediksi</a:t>
            </a:r>
            <a:r>
              <a:rPr lang="en-ID" baseline="0"/>
              <a:t> Trend Penjualan 3 bulan kedepan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lineChart>
        <c:grouping val="standard"/>
        <c:varyColors val="0"/>
        <c:ser>
          <c:idx val="0"/>
          <c:order val="0"/>
          <c:tx>
            <c:strRef>
              <c:f>'Forecast '!$B$1</c:f>
              <c:strCache>
                <c:ptCount val="1"/>
                <c:pt idx="0">
                  <c:v>Values</c:v>
                </c:pt>
              </c:strCache>
            </c:strRef>
          </c:tx>
          <c:spPr>
            <a:ln w="28575" cap="rnd">
              <a:solidFill>
                <a:schemeClr val="accent1"/>
              </a:solidFill>
              <a:round/>
            </a:ln>
            <a:effectLst/>
          </c:spPr>
          <c:marker>
            <c:symbol val="none"/>
          </c:marker>
          <c:val>
            <c:numRef>
              <c:f>'Forecast '!$B$2:$B$17</c:f>
              <c:numCache>
                <c:formatCode>General</c:formatCode>
                <c:ptCount val="16"/>
                <c:pt idx="0">
                  <c:v>899795000</c:v>
                </c:pt>
                <c:pt idx="1">
                  <c:v>764885000</c:v>
                </c:pt>
                <c:pt idx="2">
                  <c:v>660070000</c:v>
                </c:pt>
                <c:pt idx="3">
                  <c:v>711610000</c:v>
                </c:pt>
                <c:pt idx="4">
                  <c:v>894380000</c:v>
                </c:pt>
                <c:pt idx="5">
                  <c:v>874765000</c:v>
                </c:pt>
                <c:pt idx="6">
                  <c:v>995215000</c:v>
                </c:pt>
                <c:pt idx="7">
                  <c:v>742930000</c:v>
                </c:pt>
                <c:pt idx="8">
                  <c:v>916915000</c:v>
                </c:pt>
                <c:pt idx="9">
                  <c:v>791625000</c:v>
                </c:pt>
                <c:pt idx="10">
                  <c:v>740695000</c:v>
                </c:pt>
                <c:pt idx="11">
                  <c:v>809355000</c:v>
                </c:pt>
              </c:numCache>
            </c:numRef>
          </c:val>
          <c:smooth val="0"/>
          <c:extLst>
            <c:ext xmlns:c16="http://schemas.microsoft.com/office/drawing/2014/chart" uri="{C3380CC4-5D6E-409C-BE32-E72D297353CC}">
              <c16:uniqueId val="{00000000-1BC6-4FFA-B1EF-CF3084EE5A90}"/>
            </c:ext>
          </c:extLst>
        </c:ser>
        <c:ser>
          <c:idx val="1"/>
          <c:order val="1"/>
          <c:tx>
            <c:strRef>
              <c:f>'Forecast '!$C$1</c:f>
              <c:strCache>
                <c:ptCount val="1"/>
                <c:pt idx="0">
                  <c:v>Forecast</c:v>
                </c:pt>
              </c:strCache>
            </c:strRef>
          </c:tx>
          <c:spPr>
            <a:ln w="28575" cap="rnd">
              <a:solidFill>
                <a:schemeClr val="accent2"/>
              </a:solidFill>
              <a:round/>
            </a:ln>
            <a:effectLst/>
          </c:spPr>
          <c:marker>
            <c:symbol val="none"/>
          </c:marker>
          <c:cat>
            <c:numRef>
              <c:f>'Forecast '!$A$2:$A$17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46112</c:v>
                </c:pt>
              </c:numCache>
            </c:numRef>
          </c:cat>
          <c:val>
            <c:numRef>
              <c:f>'Forecast '!$C$2:$C$17</c:f>
              <c:numCache>
                <c:formatCode>General</c:formatCode>
                <c:ptCount val="16"/>
                <c:pt idx="11">
                  <c:v>809355000</c:v>
                </c:pt>
                <c:pt idx="12">
                  <c:v>819057836.23944581</c:v>
                </c:pt>
                <c:pt idx="13">
                  <c:v>820082178.98965764</c:v>
                </c:pt>
                <c:pt idx="14">
                  <c:v>821106521.73986959</c:v>
                </c:pt>
                <c:pt idx="15">
                  <c:v>822097821.17555857</c:v>
                </c:pt>
              </c:numCache>
            </c:numRef>
          </c:val>
          <c:smooth val="0"/>
          <c:extLst>
            <c:ext xmlns:c16="http://schemas.microsoft.com/office/drawing/2014/chart" uri="{C3380CC4-5D6E-409C-BE32-E72D297353CC}">
              <c16:uniqueId val="{00000001-1BC6-4FFA-B1EF-CF3084EE5A90}"/>
            </c:ext>
          </c:extLst>
        </c:ser>
        <c:ser>
          <c:idx val="2"/>
          <c:order val="2"/>
          <c:tx>
            <c:strRef>
              <c:f>'Forecast '!$D$1</c:f>
              <c:strCache>
                <c:ptCount val="1"/>
                <c:pt idx="0">
                  <c:v>Lower Confidence Bound</c:v>
                </c:pt>
              </c:strCache>
            </c:strRef>
          </c:tx>
          <c:spPr>
            <a:ln w="28575" cap="rnd">
              <a:solidFill>
                <a:schemeClr val="accent3"/>
              </a:solidFill>
              <a:round/>
            </a:ln>
            <a:effectLst/>
          </c:spPr>
          <c:marker>
            <c:symbol val="none"/>
          </c:marker>
          <c:cat>
            <c:numRef>
              <c:f>'Forecast '!$A$2:$A$17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46112</c:v>
                </c:pt>
              </c:numCache>
            </c:numRef>
          </c:cat>
          <c:val>
            <c:numRef>
              <c:f>'Forecast '!$D$2:$D$17</c:f>
              <c:numCache>
                <c:formatCode>General</c:formatCode>
                <c:ptCount val="16"/>
                <c:pt idx="11" formatCode="0.00">
                  <c:v>809355000</c:v>
                </c:pt>
                <c:pt idx="12" formatCode="0.00">
                  <c:v>598305948.48283279</c:v>
                </c:pt>
                <c:pt idx="13" formatCode="0.00">
                  <c:v>592482700.46601284</c:v>
                </c:pt>
                <c:pt idx="14" formatCode="0.00">
                  <c:v>586807223.42140746</c:v>
                </c:pt>
                <c:pt idx="15" formatCode="0.00">
                  <c:v>581442905.9649682</c:v>
                </c:pt>
              </c:numCache>
            </c:numRef>
          </c:val>
          <c:smooth val="0"/>
          <c:extLst>
            <c:ext xmlns:c16="http://schemas.microsoft.com/office/drawing/2014/chart" uri="{C3380CC4-5D6E-409C-BE32-E72D297353CC}">
              <c16:uniqueId val="{00000002-1BC6-4FFA-B1EF-CF3084EE5A90}"/>
            </c:ext>
          </c:extLst>
        </c:ser>
        <c:ser>
          <c:idx val="3"/>
          <c:order val="3"/>
          <c:tx>
            <c:strRef>
              <c:f>'Forecast '!$E$1</c:f>
              <c:strCache>
                <c:ptCount val="1"/>
                <c:pt idx="0">
                  <c:v>Upper Confidence Bound</c:v>
                </c:pt>
              </c:strCache>
            </c:strRef>
          </c:tx>
          <c:spPr>
            <a:ln w="28575" cap="rnd">
              <a:solidFill>
                <a:schemeClr val="accent4"/>
              </a:solidFill>
              <a:round/>
            </a:ln>
            <a:effectLst/>
          </c:spPr>
          <c:marker>
            <c:symbol val="none"/>
          </c:marker>
          <c:cat>
            <c:numRef>
              <c:f>'Forecast '!$A$2:$A$17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46112</c:v>
                </c:pt>
              </c:numCache>
            </c:numRef>
          </c:cat>
          <c:val>
            <c:numRef>
              <c:f>'Forecast '!$E$2:$E$17</c:f>
              <c:numCache>
                <c:formatCode>General</c:formatCode>
                <c:ptCount val="16"/>
                <c:pt idx="11" formatCode="0.00">
                  <c:v>809355000</c:v>
                </c:pt>
                <c:pt idx="12" formatCode="0.00">
                  <c:v>1039809723.9960588</c:v>
                </c:pt>
                <c:pt idx="13" formatCode="0.00">
                  <c:v>1047681657.5133024</c:v>
                </c:pt>
                <c:pt idx="14" formatCode="0.00">
                  <c:v>1055405820.0583317</c:v>
                </c:pt>
                <c:pt idx="15" formatCode="0.00">
                  <c:v>1062752736.3861489</c:v>
                </c:pt>
              </c:numCache>
            </c:numRef>
          </c:val>
          <c:smooth val="0"/>
          <c:extLst>
            <c:ext xmlns:c16="http://schemas.microsoft.com/office/drawing/2014/chart" uri="{C3380CC4-5D6E-409C-BE32-E72D297353CC}">
              <c16:uniqueId val="{00000003-1BC6-4FFA-B1EF-CF3084EE5A90}"/>
            </c:ext>
          </c:extLst>
        </c:ser>
        <c:dLbls>
          <c:showLegendKey val="0"/>
          <c:showVal val="0"/>
          <c:showCatName val="0"/>
          <c:showSerName val="0"/>
          <c:showPercent val="0"/>
          <c:showBubbleSize val="0"/>
        </c:dLbls>
        <c:smooth val="0"/>
        <c:axId val="206395183"/>
        <c:axId val="206380303"/>
      </c:lineChart>
      <c:catAx>
        <c:axId val="20639518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303"/>
        <c:crosses val="autoZero"/>
        <c:auto val="1"/>
        <c:lblAlgn val="ctr"/>
        <c:lblOffset val="100"/>
        <c:noMultiLvlLbl val="0"/>
      </c:catAx>
      <c:valAx>
        <c:axId val="20638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17</xdr:col>
      <xdr:colOff>371913</xdr:colOff>
      <xdr:row>98</xdr:row>
      <xdr:rowOff>45308</xdr:rowOff>
    </xdr:from>
    <xdr:to>
      <xdr:col>33</xdr:col>
      <xdr:colOff>267530</xdr:colOff>
      <xdr:row>118</xdr:row>
      <xdr:rowOff>44266</xdr:rowOff>
    </xdr:to>
    <xdr:graphicFrame macro="">
      <xdr:nvGraphicFramePr>
        <xdr:cNvPr id="4" name="Chart 3">
          <a:extLst>
            <a:ext uri="{FF2B5EF4-FFF2-40B4-BE49-F238E27FC236}">
              <a16:creationId xmlns:a16="http://schemas.microsoft.com/office/drawing/2014/main" id="{C3CA71DC-725B-AB32-3327-18DCF6C59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661736</xdr:colOff>
      <xdr:row>244</xdr:row>
      <xdr:rowOff>12032</xdr:rowOff>
    </xdr:from>
    <xdr:to>
      <xdr:col>7</xdr:col>
      <xdr:colOff>828841</xdr:colOff>
      <xdr:row>258</xdr:row>
      <xdr:rowOff>135021</xdr:rowOff>
    </xdr:to>
    <xdr:graphicFrame macro="">
      <xdr:nvGraphicFramePr>
        <xdr:cNvPr id="3" name="Chart 2">
          <a:extLst>
            <a:ext uri="{FF2B5EF4-FFF2-40B4-BE49-F238E27FC236}">
              <a16:creationId xmlns:a16="http://schemas.microsoft.com/office/drawing/2014/main" id="{938593C1-F116-5F6E-DA32-80A84A7CC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15240</xdr:colOff>
      <xdr:row>0</xdr:row>
      <xdr:rowOff>60960</xdr:rowOff>
    </xdr:from>
    <xdr:to>
      <xdr:col>24</xdr:col>
      <xdr:colOff>0</xdr:colOff>
      <xdr:row>3</xdr:row>
      <xdr:rowOff>152400</xdr:rowOff>
    </xdr:to>
    <xdr:sp macro="" textlink="">
      <xdr:nvSpPr>
        <xdr:cNvPr id="2" name="Rectangle: Rounded Corners 1">
          <a:extLst>
            <a:ext uri="{FF2B5EF4-FFF2-40B4-BE49-F238E27FC236}">
              <a16:creationId xmlns:a16="http://schemas.microsoft.com/office/drawing/2014/main" id="{ABAEC698-6368-AC85-6E3F-BD753507A475}"/>
            </a:ext>
          </a:extLst>
        </xdr:cNvPr>
        <xdr:cNvSpPr/>
      </xdr:nvSpPr>
      <xdr:spPr>
        <a:xfrm>
          <a:off x="8549640" y="60960"/>
          <a:ext cx="803148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aseline="0"/>
            <a:t> </a:t>
          </a:r>
          <a:r>
            <a:rPr lang="en-ID" sz="2000" b="1" baseline="0">
              <a:latin typeface="Times New Roman" panose="02020603050405020304" pitchFamily="18" charset="0"/>
              <a:cs typeface="Times New Roman" panose="02020603050405020304" pitchFamily="18" charset="0"/>
            </a:rPr>
            <a:t>DASHBOARD  SALES  PERFORMANCE</a:t>
          </a:r>
          <a:endParaRPr lang="en-ID" sz="2000" b="1">
            <a:latin typeface="Times New Roman" panose="02020603050405020304" pitchFamily="18" charset="0"/>
            <a:cs typeface="Times New Roman" panose="02020603050405020304" pitchFamily="18" charset="0"/>
          </a:endParaRPr>
        </a:p>
      </xdr:txBody>
    </xdr:sp>
    <xdr:clientData/>
  </xdr:twoCellAnchor>
  <xdr:twoCellAnchor>
    <xdr:from>
      <xdr:col>3</xdr:col>
      <xdr:colOff>163222</xdr:colOff>
      <xdr:row>6</xdr:row>
      <xdr:rowOff>16786</xdr:rowOff>
    </xdr:from>
    <xdr:to>
      <xdr:col>13</xdr:col>
      <xdr:colOff>596348</xdr:colOff>
      <xdr:row>22</xdr:row>
      <xdr:rowOff>165364</xdr:rowOff>
    </xdr:to>
    <xdr:graphicFrame macro="">
      <xdr:nvGraphicFramePr>
        <xdr:cNvPr id="3" name="Chart 2">
          <a:extLst>
            <a:ext uri="{FF2B5EF4-FFF2-40B4-BE49-F238E27FC236}">
              <a16:creationId xmlns:a16="http://schemas.microsoft.com/office/drawing/2014/main" id="{492733D3-B816-44DB-8D7B-8CC9D78DE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28</xdr:row>
      <xdr:rowOff>0</xdr:rowOff>
    </xdr:from>
    <xdr:to>
      <xdr:col>13</xdr:col>
      <xdr:colOff>596348</xdr:colOff>
      <xdr:row>45</xdr:row>
      <xdr:rowOff>15240</xdr:rowOff>
    </xdr:to>
    <xdr:graphicFrame macro="">
      <xdr:nvGraphicFramePr>
        <xdr:cNvPr id="4" name="Chart 3">
          <a:extLst>
            <a:ext uri="{FF2B5EF4-FFF2-40B4-BE49-F238E27FC236}">
              <a16:creationId xmlns:a16="http://schemas.microsoft.com/office/drawing/2014/main" id="{3CC38F04-8C73-44D2-9228-107249D93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563880</xdr:colOff>
      <xdr:row>5</xdr:row>
      <xdr:rowOff>152400</xdr:rowOff>
    </xdr:from>
    <xdr:to>
      <xdr:col>20</xdr:col>
      <xdr:colOff>301924</xdr:colOff>
      <xdr:row>23</xdr:row>
      <xdr:rowOff>0</xdr:rowOff>
    </xdr:to>
    <xdr:graphicFrame macro="">
      <xdr:nvGraphicFramePr>
        <xdr:cNvPr id="5" name="Chart 4">
          <a:extLst>
            <a:ext uri="{FF2B5EF4-FFF2-40B4-BE49-F238E27FC236}">
              <a16:creationId xmlns:a16="http://schemas.microsoft.com/office/drawing/2014/main" id="{9D3A9D5C-12F4-4BAC-8166-68DAE3F74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xdr:colOff>
      <xdr:row>28</xdr:row>
      <xdr:rowOff>0</xdr:rowOff>
    </xdr:from>
    <xdr:to>
      <xdr:col>20</xdr:col>
      <xdr:colOff>300790</xdr:colOff>
      <xdr:row>45</xdr:row>
      <xdr:rowOff>45720</xdr:rowOff>
    </xdr:to>
    <xdr:graphicFrame macro="">
      <xdr:nvGraphicFramePr>
        <xdr:cNvPr id="6" name="Chart 5">
          <a:extLst>
            <a:ext uri="{FF2B5EF4-FFF2-40B4-BE49-F238E27FC236}">
              <a16:creationId xmlns:a16="http://schemas.microsoft.com/office/drawing/2014/main" id="{B8D7C722-B51B-4B75-B8F0-EBFBB8295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48</xdr:row>
      <xdr:rowOff>137160</xdr:rowOff>
    </xdr:from>
    <xdr:to>
      <xdr:col>14</xdr:col>
      <xdr:colOff>0</xdr:colOff>
      <xdr:row>72</xdr:row>
      <xdr:rowOff>40106</xdr:rowOff>
    </xdr:to>
    <xdr:graphicFrame macro="">
      <xdr:nvGraphicFramePr>
        <xdr:cNvPr id="8" name="Chart 7">
          <a:extLst>
            <a:ext uri="{FF2B5EF4-FFF2-40B4-BE49-F238E27FC236}">
              <a16:creationId xmlns:a16="http://schemas.microsoft.com/office/drawing/2014/main" id="{9EF6B864-38D6-4C2D-AFFC-A09BCC90B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380712</xdr:colOff>
      <xdr:row>5</xdr:row>
      <xdr:rowOff>153262</xdr:rowOff>
    </xdr:from>
    <xdr:to>
      <xdr:col>32</xdr:col>
      <xdr:colOff>578296</xdr:colOff>
      <xdr:row>22</xdr:row>
      <xdr:rowOff>153262</xdr:rowOff>
    </xdr:to>
    <xdr:graphicFrame macro="">
      <xdr:nvGraphicFramePr>
        <xdr:cNvPr id="9" name="Chart 8">
          <a:extLst>
            <a:ext uri="{FF2B5EF4-FFF2-40B4-BE49-F238E27FC236}">
              <a16:creationId xmlns:a16="http://schemas.microsoft.com/office/drawing/2014/main" id="{C034AA10-FD04-4274-9752-B7B52AC92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393032</xdr:colOff>
      <xdr:row>27</xdr:row>
      <xdr:rowOff>150796</xdr:rowOff>
    </xdr:from>
    <xdr:to>
      <xdr:col>32</xdr:col>
      <xdr:colOff>545432</xdr:colOff>
      <xdr:row>45</xdr:row>
      <xdr:rowOff>802</xdr:rowOff>
    </xdr:to>
    <xdr:graphicFrame macro="">
      <xdr:nvGraphicFramePr>
        <xdr:cNvPr id="10" name="Chart 9">
          <a:extLst>
            <a:ext uri="{FF2B5EF4-FFF2-40B4-BE49-F238E27FC236}">
              <a16:creationId xmlns:a16="http://schemas.microsoft.com/office/drawing/2014/main" id="{6269EB34-3C2C-4211-BEF4-69B106B20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721893</xdr:colOff>
      <xdr:row>47</xdr:row>
      <xdr:rowOff>60158</xdr:rowOff>
    </xdr:from>
    <xdr:to>
      <xdr:col>32</xdr:col>
      <xdr:colOff>581527</xdr:colOff>
      <xdr:row>72</xdr:row>
      <xdr:rowOff>40105</xdr:rowOff>
    </xdr:to>
    <xdr:graphicFrame macro="">
      <xdr:nvGraphicFramePr>
        <xdr:cNvPr id="13" name="Chart 12">
          <a:extLst>
            <a:ext uri="{FF2B5EF4-FFF2-40B4-BE49-F238E27FC236}">
              <a16:creationId xmlns:a16="http://schemas.microsoft.com/office/drawing/2014/main" id="{1B852A34-CFF6-49E3-9698-E62EE3BF4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15</xdr:col>
      <xdr:colOff>338667</xdr:colOff>
      <xdr:row>2</xdr:row>
      <xdr:rowOff>135467</xdr:rowOff>
    </xdr:from>
    <xdr:ext cx="184731" cy="264560"/>
    <xdr:sp macro="" textlink="">
      <xdr:nvSpPr>
        <xdr:cNvPr id="7" name="TextBox 6">
          <a:extLst>
            <a:ext uri="{FF2B5EF4-FFF2-40B4-BE49-F238E27FC236}">
              <a16:creationId xmlns:a16="http://schemas.microsoft.com/office/drawing/2014/main" id="{C666BE40-829C-A47F-C117-A6EE7AC049AF}"/>
            </a:ext>
          </a:extLst>
        </xdr:cNvPr>
        <xdr:cNvSpPr txBox="1"/>
      </xdr:nvSpPr>
      <xdr:spPr>
        <a:xfrm>
          <a:off x="10109200" y="508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twoCellAnchor editAs="oneCell">
    <xdr:from>
      <xdr:col>33</xdr:col>
      <xdr:colOff>526627</xdr:colOff>
      <xdr:row>16</xdr:row>
      <xdr:rowOff>60114</xdr:rowOff>
    </xdr:from>
    <xdr:to>
      <xdr:col>36</xdr:col>
      <xdr:colOff>526627</xdr:colOff>
      <xdr:row>28</xdr:row>
      <xdr:rowOff>4022</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B3CC2AE7-7704-AF44-FCBD-568FE80A3CF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8195694" y="3260514"/>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464819</xdr:colOff>
      <xdr:row>1</xdr:row>
      <xdr:rowOff>32173</xdr:rowOff>
    </xdr:from>
    <xdr:to>
      <xdr:col>36</xdr:col>
      <xdr:colOff>464819</xdr:colOff>
      <xdr:row>13</xdr:row>
      <xdr:rowOff>94615</xdr:rowOff>
    </xdr:to>
    <mc:AlternateContent xmlns:mc="http://schemas.openxmlformats.org/markup-compatibility/2006">
      <mc:Choice xmlns:a14="http://schemas.microsoft.com/office/drawing/2010/main" Requires="a14">
        <xdr:graphicFrame macro="">
          <xdr:nvGraphicFramePr>
            <xdr:cNvPr id="14" name="Months (Date)">
              <a:extLst>
                <a:ext uri="{FF2B5EF4-FFF2-40B4-BE49-F238E27FC236}">
                  <a16:creationId xmlns:a16="http://schemas.microsoft.com/office/drawing/2014/main" id="{236355F8-9534-6E5F-F798-905C9B4C9F1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8133886" y="2184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475826</xdr:colOff>
      <xdr:row>29</xdr:row>
      <xdr:rowOff>100753</xdr:rowOff>
    </xdr:from>
    <xdr:to>
      <xdr:col>36</xdr:col>
      <xdr:colOff>475826</xdr:colOff>
      <xdr:row>37</xdr:row>
      <xdr:rowOff>118533</xdr:rowOff>
    </xdr:to>
    <mc:AlternateContent xmlns:mc="http://schemas.openxmlformats.org/markup-compatibility/2006">
      <mc:Choice xmlns:a14="http://schemas.microsoft.com/office/drawing/2010/main" Requires="a14">
        <xdr:graphicFrame macro="">
          <xdr:nvGraphicFramePr>
            <xdr:cNvPr id="15" name="Salesman">
              <a:extLst>
                <a:ext uri="{FF2B5EF4-FFF2-40B4-BE49-F238E27FC236}">
                  <a16:creationId xmlns:a16="http://schemas.microsoft.com/office/drawing/2014/main" id="{AC1F286A-809F-9BD5-666D-59A63FAE9305}"/>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28144893" y="6010486"/>
              <a:ext cx="1828800" cy="16772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7.414228472226" createdVersion="8" refreshedVersion="8" minRefreshableVersion="3" recordCount="1200" xr:uid="{A3D70E43-9637-41DE-9417-B40CAABF47F9}">
  <cacheSource type="worksheet">
    <worksheetSource name="Table1"/>
  </cacheSource>
  <cacheFields count="11">
    <cacheField name="Date" numFmtId="164">
      <sharedItems containsSemiMixedTypes="0" containsNonDate="0" containsDate="1" containsString="0" minDate="2025-01-01T00:00:00" maxDate="2026-01-01T00:00:00" count="352">
        <d v="2025-04-04T00:00:00"/>
        <d v="2025-02-19T00:00:00"/>
        <d v="2025-06-29T00:00:00"/>
        <d v="2025-05-02T00:00:00"/>
        <d v="2025-04-18T00:00:00"/>
        <d v="2025-12-12T00:00:00"/>
        <d v="2025-11-30T00:00:00"/>
        <d v="2025-04-02T00:00:00"/>
        <d v="2025-06-19T00:00:00"/>
        <d v="2025-04-17T00:00:00"/>
        <d v="2025-08-02T00:00:00"/>
        <d v="2025-10-12T00:00:00"/>
        <d v="2025-06-24T00:00:00"/>
        <d v="2025-02-28T00:00:00"/>
        <d v="2025-12-17T00:00:00"/>
        <d v="2025-10-03T00:00:00"/>
        <d v="2025-07-27T00:00:00"/>
        <d v="2025-12-01T00:00:00"/>
        <d v="2025-02-08T00:00:00"/>
        <d v="2025-11-11T00:00:00"/>
        <d v="2025-09-29T00:00:00"/>
        <d v="2025-10-14T00:00:00"/>
        <d v="2025-08-18T00:00:00"/>
        <d v="2025-01-14T00:00:00"/>
        <d v="2025-10-24T00:00:00"/>
        <d v="2025-12-25T00:00:00"/>
        <d v="2025-11-25T00:00:00"/>
        <d v="2025-05-21T00:00:00"/>
        <d v="2025-03-13T00:00:00"/>
        <d v="2025-02-16T00:00:00"/>
        <d v="2025-01-22T00:00:00"/>
        <d v="2025-08-22T00:00:00"/>
        <d v="2025-11-14T00:00:00"/>
        <d v="2025-09-04T00:00:00"/>
        <d v="2025-03-04T00:00:00"/>
        <d v="2025-09-17T00:00:00"/>
        <d v="2025-10-30T00:00:00"/>
        <d v="2025-01-05T00:00:00"/>
        <d v="2025-06-03T00:00:00"/>
        <d v="2025-09-26T00:00:00"/>
        <d v="2025-07-20T00:00:00"/>
        <d v="2025-08-21T00:00:00"/>
        <d v="2025-01-25T00:00:00"/>
        <d v="2025-03-23T00:00:00"/>
        <d v="2025-11-08T00:00:00"/>
        <d v="2025-12-02T00:00:00"/>
        <d v="2025-05-19T00:00:00"/>
        <d v="2025-09-27T00:00:00"/>
        <d v="2025-07-17T00:00:00"/>
        <d v="2025-03-30T00:00:00"/>
        <d v="2025-04-26T00:00:00"/>
        <d v="2025-06-14T00:00:00"/>
        <d v="2025-08-06T00:00:00"/>
        <d v="2025-12-23T00:00:00"/>
        <d v="2025-04-14T00:00:00"/>
        <d v="2025-07-12T00:00:00"/>
        <d v="2025-08-12T00:00:00"/>
        <d v="2025-12-21T00:00:00"/>
        <d v="2025-06-10T00:00:00"/>
        <d v="2025-06-20T00:00:00"/>
        <d v="2025-03-07T00:00:00"/>
        <d v="2025-08-04T00:00:00"/>
        <d v="2025-03-12T00:00:00"/>
        <d v="2025-03-18T00:00:00"/>
        <d v="2025-11-27T00:00:00"/>
        <d v="2025-09-05T00:00:00"/>
        <d v="2025-01-16T00:00:00"/>
        <d v="2025-09-11T00:00:00"/>
        <d v="2025-03-09T00:00:00"/>
        <d v="2025-01-08T00:00:00"/>
        <d v="2025-07-19T00:00:00"/>
        <d v="2025-06-22T00:00:00"/>
        <d v="2025-01-29T00:00:00"/>
        <d v="2025-01-03T00:00:00"/>
        <d v="2025-02-03T00:00:00"/>
        <d v="2025-07-11T00:00:00"/>
        <d v="2025-04-12T00:00:00"/>
        <d v="2025-05-10T00:00:00"/>
        <d v="2025-11-04T00:00:00"/>
        <d v="2025-11-01T00:00:00"/>
        <d v="2025-11-16T00:00:00"/>
        <d v="2025-05-31T00:00:00"/>
        <d v="2025-05-04T00:00:00"/>
        <d v="2025-12-31T00:00:00"/>
        <d v="2025-02-05T00:00:00"/>
        <d v="2025-10-06T00:00:00"/>
        <d v="2025-05-16T00:00:00"/>
        <d v="2025-05-15T00:00:00"/>
        <d v="2025-07-23T00:00:00"/>
        <d v="2025-10-29T00:00:00"/>
        <d v="2025-09-10T00:00:00"/>
        <d v="2025-08-16T00:00:00"/>
        <d v="2025-04-05T00:00:00"/>
        <d v="2025-08-07T00:00:00"/>
        <d v="2025-09-19T00:00:00"/>
        <d v="2025-09-21T00:00:00"/>
        <d v="2025-11-18T00:00:00"/>
        <d v="2025-07-28T00:00:00"/>
        <d v="2025-12-03T00:00:00"/>
        <d v="2025-12-14T00:00:00"/>
        <d v="2025-08-30T00:00:00"/>
        <d v="2025-04-16T00:00:00"/>
        <d v="2025-08-31T00:00:00"/>
        <d v="2025-06-25T00:00:00"/>
        <d v="2025-10-26T00:00:00"/>
        <d v="2025-09-08T00:00:00"/>
        <d v="2025-06-08T00:00:00"/>
        <d v="2025-10-28T00:00:00"/>
        <d v="2025-08-17T00:00:00"/>
        <d v="2025-02-23T00:00:00"/>
        <d v="2025-07-03T00:00:00"/>
        <d v="2025-05-29T00:00:00"/>
        <d v="2025-06-05T00:00:00"/>
        <d v="2025-01-17T00:00:00"/>
        <d v="2025-03-11T00:00:00"/>
        <d v="2025-03-19T00:00:00"/>
        <d v="2025-03-03T00:00:00"/>
        <d v="2025-10-11T00:00:00"/>
        <d v="2025-02-02T00:00:00"/>
        <d v="2025-12-28T00:00:00"/>
        <d v="2025-10-18T00:00:00"/>
        <d v="2025-04-30T00:00:00"/>
        <d v="2025-11-13T00:00:00"/>
        <d v="2025-06-07T00:00:00"/>
        <d v="2025-06-18T00:00:00"/>
        <d v="2025-09-06T00:00:00"/>
        <d v="2025-12-30T00:00:00"/>
        <d v="2025-05-05T00:00:00"/>
        <d v="2025-01-09T00:00:00"/>
        <d v="2025-10-22T00:00:00"/>
        <d v="2025-12-09T00:00:00"/>
        <d v="2025-03-20T00:00:00"/>
        <d v="2025-09-16T00:00:00"/>
        <d v="2025-07-22T00:00:00"/>
        <d v="2025-10-05T00:00:00"/>
        <d v="2025-10-01T00:00:00"/>
        <d v="2025-09-02T00:00:00"/>
        <d v="2025-06-01T00:00:00"/>
        <d v="2025-01-23T00:00:00"/>
        <d v="2025-07-10T00:00:00"/>
        <d v="2025-06-11T00:00:00"/>
        <d v="2025-10-08T00:00:00"/>
        <d v="2025-09-25T00:00:00"/>
        <d v="2025-07-13T00:00:00"/>
        <d v="2025-07-16T00:00:00"/>
        <d v="2025-10-02T00:00:00"/>
        <d v="2025-10-31T00:00:00"/>
        <d v="2025-11-21T00:00:00"/>
        <d v="2025-03-21T00:00:00"/>
        <d v="2025-12-22T00:00:00"/>
        <d v="2025-05-17T00:00:00"/>
        <d v="2025-01-15T00:00:00"/>
        <d v="2025-04-15T00:00:00"/>
        <d v="2025-01-06T00:00:00"/>
        <d v="2025-12-08T00:00:00"/>
        <d v="2025-01-12T00:00:00"/>
        <d v="2025-07-25T00:00:00"/>
        <d v="2025-03-31T00:00:00"/>
        <d v="2025-09-28T00:00:00"/>
        <d v="2025-02-26T00:00:00"/>
        <d v="2025-10-25T00:00:00"/>
        <d v="2025-04-01T00:00:00"/>
        <d v="2025-12-16T00:00:00"/>
        <d v="2025-02-10T00:00:00"/>
        <d v="2025-09-14T00:00:00"/>
        <d v="2025-07-06T00:00:00"/>
        <d v="2025-09-23T00:00:00"/>
        <d v="2025-06-16T00:00:00"/>
        <d v="2025-11-20T00:00:00"/>
        <d v="2025-04-19T00:00:00"/>
        <d v="2025-02-06T00:00:00"/>
        <d v="2025-08-26T00:00:00"/>
        <d v="2025-06-21T00:00:00"/>
        <d v="2025-01-07T00:00:00"/>
        <d v="2025-02-20T00:00:00"/>
        <d v="2025-02-15T00:00:00"/>
        <d v="2025-02-21T00:00:00"/>
        <d v="2025-08-03T00:00:00"/>
        <d v="2025-10-23T00:00:00"/>
        <d v="2025-05-18T00:00:00"/>
        <d v="2025-10-17T00:00:00"/>
        <d v="2025-08-14T00:00:00"/>
        <d v="2025-03-28T00:00:00"/>
        <d v="2025-10-13T00:00:00"/>
        <d v="2025-05-08T00:00:00"/>
        <d v="2025-09-22T00:00:00"/>
        <d v="2025-07-02T00:00:00"/>
        <d v="2025-05-13T00:00:00"/>
        <d v="2025-03-27T00:00:00"/>
        <d v="2025-04-10T00:00:00"/>
        <d v="2025-08-09T00:00:00"/>
        <d v="2025-12-24T00:00:00"/>
        <d v="2025-05-30T00:00:00"/>
        <d v="2025-12-26T00:00:00"/>
        <d v="2025-11-24T00:00:00"/>
        <d v="2025-01-18T00:00:00"/>
        <d v="2025-11-26T00:00:00"/>
        <d v="2025-09-24T00:00:00"/>
        <d v="2025-01-20T00:00:00"/>
        <d v="2025-03-26T00:00:00"/>
        <d v="2025-02-24T00:00:00"/>
        <d v="2025-06-26T00:00:00"/>
        <d v="2025-05-27T00:00:00"/>
        <d v="2025-06-15T00:00:00"/>
        <d v="2025-03-14T00:00:00"/>
        <d v="2025-07-18T00:00:00"/>
        <d v="2025-11-17T00:00:00"/>
        <d v="2025-07-24T00:00:00"/>
        <d v="2025-10-16T00:00:00"/>
        <d v="2025-05-24T00:00:00"/>
        <d v="2025-09-30T00:00:00"/>
        <d v="2025-11-09T00:00:00"/>
        <d v="2025-10-04T00:00:00"/>
        <d v="2025-02-07T00:00:00"/>
        <d v="2025-11-02T00:00:00"/>
        <d v="2025-05-14T00:00:00"/>
        <d v="2025-12-05T00:00:00"/>
        <d v="2025-09-01T00:00:00"/>
        <d v="2025-12-18T00:00:00"/>
        <d v="2025-12-15T00:00:00"/>
        <d v="2025-01-19T00:00:00"/>
        <d v="2025-01-04T00:00:00"/>
        <d v="2025-08-25T00:00:00"/>
        <d v="2025-04-21T00:00:00"/>
        <d v="2025-12-11T00:00:00"/>
        <d v="2025-01-11T00:00:00"/>
        <d v="2025-07-01T00:00:00"/>
        <d v="2025-07-07T00:00:00"/>
        <d v="2025-02-12T00:00:00"/>
        <d v="2025-07-30T00:00:00"/>
        <d v="2025-02-14T00:00:00"/>
        <d v="2025-02-18T00:00:00"/>
        <d v="2025-01-10T00:00:00"/>
        <d v="2025-11-19T00:00:00"/>
        <d v="2025-06-04T00:00:00"/>
        <d v="2025-08-20T00:00:00"/>
        <d v="2025-10-27T00:00:00"/>
        <d v="2025-10-20T00:00:00"/>
        <d v="2025-08-27T00:00:00"/>
        <d v="2025-08-08T00:00:00"/>
        <d v="2025-01-30T00:00:00"/>
        <d v="2025-05-12T00:00:00"/>
        <d v="2025-04-29T00:00:00"/>
        <d v="2025-08-28T00:00:00"/>
        <d v="2025-08-10T00:00:00"/>
        <d v="2025-11-23T00:00:00"/>
        <d v="2025-02-22T00:00:00"/>
        <d v="2025-11-07T00:00:00"/>
        <d v="2025-04-09T00:00:00"/>
        <d v="2025-06-13T00:00:00"/>
        <d v="2025-12-27T00:00:00"/>
        <d v="2025-01-02T00:00:00"/>
        <d v="2025-06-28T00:00:00"/>
        <d v="2025-02-13T00:00:00"/>
        <d v="2025-10-21T00:00:00"/>
        <d v="2025-08-01T00:00:00"/>
        <d v="2025-01-24T00:00:00"/>
        <d v="2025-12-19T00:00:00"/>
        <d v="2025-06-17T00:00:00"/>
        <d v="2025-05-06T00:00:00"/>
        <d v="2025-04-27T00:00:00"/>
        <d v="2025-08-23T00:00:00"/>
        <d v="2025-12-04T00:00:00"/>
        <d v="2025-07-15T00:00:00"/>
        <d v="2025-05-01T00:00:00"/>
        <d v="2025-07-21T00:00:00"/>
        <d v="2025-06-23T00:00:00"/>
        <d v="2025-09-13T00:00:00"/>
        <d v="2025-08-05T00:00:00"/>
        <d v="2025-06-30T00:00:00"/>
        <d v="2025-10-15T00:00:00"/>
        <d v="2025-11-12T00:00:00"/>
        <d v="2025-03-06T00:00:00"/>
        <d v="2025-05-03T00:00:00"/>
        <d v="2025-03-08T00:00:00"/>
        <d v="2025-06-12T00:00:00"/>
        <d v="2025-07-31T00:00:00"/>
        <d v="2025-01-26T00:00:00"/>
        <d v="2025-10-09T00:00:00"/>
        <d v="2025-04-24T00:00:00"/>
        <d v="2025-04-20T00:00:00"/>
        <d v="2025-07-09T00:00:00"/>
        <d v="2025-03-17T00:00:00"/>
        <d v="2025-06-09T00:00:00"/>
        <d v="2025-05-07T00:00:00"/>
        <d v="2025-02-01T00:00:00"/>
        <d v="2025-06-27T00:00:00"/>
        <d v="2025-11-15T00:00:00"/>
        <d v="2025-09-03T00:00:00"/>
        <d v="2025-07-14T00:00:00"/>
        <d v="2025-09-20T00:00:00"/>
        <d v="2025-03-15T00:00:00"/>
        <d v="2025-11-03T00:00:00"/>
        <d v="2025-03-22T00:00:00"/>
        <d v="2025-07-26T00:00:00"/>
        <d v="2025-02-11T00:00:00"/>
        <d v="2025-04-08T00:00:00"/>
        <d v="2025-10-10T00:00:00"/>
        <d v="2025-02-27T00:00:00"/>
        <d v="2025-11-29T00:00:00"/>
        <d v="2025-04-28T00:00:00"/>
        <d v="2025-01-31T00:00:00"/>
        <d v="2025-09-07T00:00:00"/>
        <d v="2025-12-06T00:00:00"/>
        <d v="2025-05-09T00:00:00"/>
        <d v="2025-03-16T00:00:00"/>
        <d v="2025-01-28T00:00:00"/>
        <d v="2025-02-04T00:00:00"/>
        <d v="2025-10-19T00:00:00"/>
        <d v="2025-07-08T00:00:00"/>
        <d v="2025-05-23T00:00:00"/>
        <d v="2025-08-13T00:00:00"/>
        <d v="2025-12-13T00:00:00"/>
        <d v="2025-02-17T00:00:00"/>
        <d v="2025-03-02T00:00:00"/>
        <d v="2025-04-25T00:00:00"/>
        <d v="2025-05-20T00:00:00"/>
        <d v="2025-05-28T00:00:00"/>
        <d v="2025-03-29T00:00:00"/>
        <d v="2025-05-25T00:00:00"/>
        <d v="2025-01-13T00:00:00"/>
        <d v="2025-03-25T00:00:00"/>
        <d v="2025-07-29T00:00:00"/>
        <d v="2025-09-15T00:00:00"/>
        <d v="2025-12-29T00:00:00"/>
        <d v="2025-09-09T00:00:00"/>
        <d v="2025-04-03T00:00:00"/>
        <d v="2025-09-12T00:00:00"/>
        <d v="2025-10-07T00:00:00"/>
        <d v="2025-02-25T00:00:00"/>
        <d v="2025-02-09T00:00:00"/>
        <d v="2025-03-24T00:00:00"/>
        <d v="2025-04-23T00:00:00"/>
        <d v="2025-11-06T00:00:00"/>
        <d v="2025-01-01T00:00:00"/>
        <d v="2025-07-04T00:00:00"/>
        <d v="2025-08-11T00:00:00"/>
        <d v="2025-01-27T00:00:00"/>
        <d v="2025-11-22T00:00:00"/>
        <d v="2025-05-11T00:00:00"/>
        <d v="2025-11-28T00:00:00"/>
        <d v="2025-06-02T00:00:00"/>
        <d v="2025-04-06T00:00:00"/>
        <d v="2025-04-22T00:00:00"/>
        <d v="2025-05-26T00:00:00"/>
        <d v="2025-11-10T00:00:00"/>
        <d v="2025-12-10T00:00:00"/>
        <d v="2025-11-05T00:00:00"/>
        <d v="2025-07-05T00:00:00"/>
        <d v="2025-04-11T00:00:00"/>
        <d v="2025-01-21T00:00:00"/>
        <d v="2025-06-06T00:00:00"/>
      </sharedItems>
      <fieldGroup par="10"/>
    </cacheField>
    <cacheField name="Invoice" numFmtId="0">
      <sharedItems/>
    </cacheField>
    <cacheField name="Product" numFmtId="0">
      <sharedItems count="4">
        <s v="Semen Mortar"/>
        <s v="Bata Ringan 10cm"/>
        <s v="Panel Dinding"/>
        <s v="Bata Ringan 7.5cm"/>
      </sharedItems>
    </cacheField>
    <cacheField name="Customer" numFmtId="0">
      <sharedItems count="50">
        <s v="Toko Bangunan 39"/>
        <s v="Toko Bangunan 27"/>
        <s v="Toko Bangunan 11"/>
        <s v="Toko Bangunan 1"/>
        <s v="Toko Bangunan 8"/>
        <s v="Toko Bangunan 12"/>
        <s v="Toko Bangunan 21"/>
        <s v="Toko Bangunan 22"/>
        <s v="Toko Bangunan 44"/>
        <s v="Toko Bangunan 14"/>
        <s v="Toko Bangunan 6"/>
        <s v="Toko Bangunan 9"/>
        <s v="Toko Bangunan 5"/>
        <s v="Toko Bangunan 28"/>
        <s v="Toko Bangunan 38"/>
        <s v="Toko Bangunan 47"/>
        <s v="Toko Bangunan 2"/>
        <s v="Toko Bangunan 35"/>
        <s v="Toko Bangunan 26"/>
        <s v="Toko Bangunan 33"/>
        <s v="Toko Bangunan 37"/>
        <s v="Toko Bangunan 23"/>
        <s v="Toko Bangunan 49"/>
        <s v="Toko Bangunan 45"/>
        <s v="Toko Bangunan 34"/>
        <s v="Toko Bangunan 36"/>
        <s v="Toko Bangunan 31"/>
        <s v="Toko Bangunan 25"/>
        <s v="Toko Bangunan 41"/>
        <s v="Toko Bangunan 20"/>
        <s v="Toko Bangunan 15"/>
        <s v="Toko Bangunan 50"/>
        <s v="Toko Bangunan 3"/>
        <s v="Toko Bangunan 19"/>
        <s v="Toko Bangunan 43"/>
        <s v="Toko Bangunan 4"/>
        <s v="Toko Bangunan 17"/>
        <s v="Toko Bangunan 42"/>
        <s v="Toko Bangunan 32"/>
        <s v="Toko Bangunan 24"/>
        <s v="Toko Bangunan 46"/>
        <s v="Toko Bangunan 29"/>
        <s v="Toko Bangunan 30"/>
        <s v="Toko Bangunan 10"/>
        <s v="Toko Bangunan 40"/>
        <s v="Toko Bangunan 18"/>
        <s v="Toko Bangunan 16"/>
        <s v="Toko Bangunan 48"/>
        <s v="Toko Bangunan 13"/>
        <s v="Toko Bangunan 7"/>
      </sharedItems>
    </cacheField>
    <cacheField name="City" numFmtId="0">
      <sharedItems count="8">
        <s v="Bogor"/>
        <s v="Depok"/>
        <s v="Semarang"/>
        <s v="Surabaya"/>
        <s v="Jakarta"/>
        <s v="Tangerang"/>
        <s v="Bekasi"/>
        <s v="Bandung"/>
      </sharedItems>
    </cacheField>
    <cacheField name="Salesman" numFmtId="0">
      <sharedItems count="5">
        <s v="Andi"/>
        <s v="Rina"/>
        <s v="Budi"/>
        <s v="Agus"/>
        <s v="Sari"/>
      </sharedItems>
    </cacheField>
    <cacheField name="Qty" numFmtId="0">
      <sharedItems containsSemiMixedTypes="0" containsString="0" containsNumber="1" containsInteger="1" minValue="10" maxValue="200"/>
    </cacheField>
    <cacheField name="Price" numFmtId="0">
      <sharedItems containsSemiMixedTypes="0" containsString="0" containsNumber="1" containsInteger="1" minValue="55000" maxValue="120000"/>
    </cacheField>
    <cacheField name="Total" numFmtId="0">
      <sharedItems containsSemiMixedTypes="0" containsString="0" containsNumber="1" containsInteger="1" minValue="550000" maxValue="24000000"/>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 name="Years (Date)" numFmtId="0" databaseField="0">
      <fieldGroup base="0">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6432728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57.642867129631" createdVersion="8" refreshedVersion="8" minRefreshableVersion="3" recordCount="60" xr:uid="{ECD208F1-E215-45CD-A183-35F6DB04C883}">
  <cacheSource type="worksheet">
    <worksheetSource name="Table4"/>
  </cacheSource>
  <cacheFields count="7">
    <cacheField name="Salesman" numFmtId="0">
      <sharedItems count="5">
        <s v="Budi"/>
        <s v="Rina"/>
        <s v="Andi"/>
        <s v="Agus"/>
        <s v="Sari"/>
      </sharedItems>
    </cacheField>
    <cacheField name="Years" numFmtId="0">
      <sharedItems/>
    </cacheField>
    <cacheField name="Month" numFmtId="0">
      <sharedItems count="12">
        <s v="May"/>
        <s v="Jun"/>
        <s v="Sep"/>
        <s v="Oct"/>
        <s v="Jul"/>
        <s v="Dec"/>
        <s v="Jan"/>
        <s v="Mar"/>
        <s v="Feb"/>
        <s v="Aug"/>
        <s v="Apr"/>
        <s v="Nov"/>
      </sharedItems>
    </cacheField>
    <cacheField name="Actual" numFmtId="0">
      <sharedItems containsSemiMixedTypes="0" containsString="0" containsNumber="1" containsInteger="1" minValue="66890000" maxValue="267675000"/>
    </cacheField>
    <cacheField name="Target" numFmtId="0">
      <sharedItems containsSemiMixedTypes="0" containsString="0" containsNumber="1" containsInteger="1" minValue="306727352" maxValue="586356936"/>
    </cacheField>
    <cacheField name="Achievement" numFmtId="9">
      <sharedItems containsSemiMixedTypes="0" containsString="0" containsNumber="1" minValue="0.13584646463190786" maxValue="0.69873490591516363"/>
    </cacheField>
    <cacheField name="Status" numFmtId="0">
      <sharedItems count="2">
        <s v="Not Achieved"/>
        <s v="Achieved"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58.783653587961" backgroundQuery="1" createdVersion="8" refreshedVersion="8" minRefreshableVersion="3" recordCount="0" supportSubquery="1" supportAdvancedDrill="1" xr:uid="{A5C836FC-D42F-4A68-B07E-02E355DD8561}">
  <cacheSource type="external" connectionId="1"/>
  <cacheFields count="2">
    <cacheField name="[Table1].[Customer].[Customer]" caption="Customer" numFmtId="0" hierarchy="3" level="1">
      <sharedItems count="50">
        <s v="Toko Bangunan 1"/>
        <s v="Toko Bangunan 10"/>
        <s v="Toko Bangunan 11"/>
        <s v="Toko Bangunan 12"/>
        <s v="Toko Bangunan 13"/>
        <s v="Toko Bangunan 14"/>
        <s v="Toko Bangunan 15"/>
        <s v="Toko Bangunan 16"/>
        <s v="Toko Bangunan 17"/>
        <s v="Toko Bangunan 18"/>
        <s v="Toko Bangunan 19"/>
        <s v="Toko Bangunan 2"/>
        <s v="Toko Bangunan 20"/>
        <s v="Toko Bangunan 21"/>
        <s v="Toko Bangunan 22"/>
        <s v="Toko Bangunan 23"/>
        <s v="Toko Bangunan 24"/>
        <s v="Toko Bangunan 25"/>
        <s v="Toko Bangunan 26"/>
        <s v="Toko Bangunan 27"/>
        <s v="Toko Bangunan 28"/>
        <s v="Toko Bangunan 29"/>
        <s v="Toko Bangunan 3"/>
        <s v="Toko Bangunan 30"/>
        <s v="Toko Bangunan 31"/>
        <s v="Toko Bangunan 32"/>
        <s v="Toko Bangunan 33"/>
        <s v="Toko Bangunan 34"/>
        <s v="Toko Bangunan 35"/>
        <s v="Toko Bangunan 36"/>
        <s v="Toko Bangunan 37"/>
        <s v="Toko Bangunan 38"/>
        <s v="Toko Bangunan 39"/>
        <s v="Toko Bangunan 4"/>
        <s v="Toko Bangunan 40"/>
        <s v="Toko Bangunan 41"/>
        <s v="Toko Bangunan 42"/>
        <s v="Toko Bangunan 43"/>
        <s v="Toko Bangunan 44"/>
        <s v="Toko Bangunan 45"/>
        <s v="Toko Bangunan 46"/>
        <s v="Toko Bangunan 47"/>
        <s v="Toko Bangunan 48"/>
        <s v="Toko Bangunan 49"/>
        <s v="Toko Bangunan 5"/>
        <s v="Toko Bangunan 50"/>
        <s v="Toko Bangunan 6"/>
        <s v="Toko Bangunan 7"/>
        <s v="Toko Bangunan 8"/>
        <s v="Toko Bangunan 9"/>
      </sharedItems>
    </cacheField>
    <cacheField name="[Measures].[Distinct Count of Customer]" caption="Distinct Count of Customer" numFmtId="0" hierarchy="12" level="32767"/>
  </cacheFields>
  <cacheHierarchies count="13">
    <cacheHierarchy uniqueName="[Table1].[Date]" caption="Date" attribute="1" time="1" defaultMemberUniqueName="[Table1].[Date].[All]" allUniqueName="[Table1].[Date].[All]" dimensionUniqueName="[Table1]" displayFolder="" count="0" memberValueDatatype="7" unbalanced="0"/>
    <cacheHierarchy uniqueName="[Table1].[Invoice]" caption="Invoice" attribute="1" defaultMemberUniqueName="[Table1].[Invoice].[All]" allUniqueName="[Table1].[Invoice].[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ustomer]" caption="Customer" attribute="1" defaultMemberUniqueName="[Table1].[Customer].[All]" allUniqueName="[Table1].[Customer].[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Table1].[Qty]" caption="Qty" attribute="1" defaultMemberUniqueName="[Table1].[Qty].[All]" allUniqueName="[Table1].[Q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20" unbalanced="0"/>
    <cacheHierarchy uniqueName="[Table1].[Total]" caption="Total" attribute="1" defaultMemberUniqueName="[Table1].[Total].[All]" allUniqueName="[Table1].[Tota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caption="Count of Customer"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INV00106"/>
    <x v="0"/>
    <x v="0"/>
    <x v="0"/>
    <x v="0"/>
    <n v="10"/>
    <n v="55000"/>
    <n v="550000"/>
  </r>
  <r>
    <x v="1"/>
    <s v="INV00277"/>
    <x v="1"/>
    <x v="1"/>
    <x v="1"/>
    <x v="1"/>
    <n v="10"/>
    <n v="75000"/>
    <n v="750000"/>
  </r>
  <r>
    <x v="2"/>
    <s v="INV00407"/>
    <x v="2"/>
    <x v="2"/>
    <x v="1"/>
    <x v="2"/>
    <n v="10"/>
    <n v="120000"/>
    <n v="1200000"/>
  </r>
  <r>
    <x v="3"/>
    <s v="INV00598"/>
    <x v="3"/>
    <x v="3"/>
    <x v="2"/>
    <x v="3"/>
    <n v="10"/>
    <n v="65000"/>
    <n v="650000"/>
  </r>
  <r>
    <x v="4"/>
    <s v="INV01051"/>
    <x v="3"/>
    <x v="4"/>
    <x v="3"/>
    <x v="1"/>
    <n v="10"/>
    <n v="65000"/>
    <n v="650000"/>
  </r>
  <r>
    <x v="5"/>
    <s v="INV01156"/>
    <x v="3"/>
    <x v="5"/>
    <x v="4"/>
    <x v="2"/>
    <n v="10"/>
    <n v="65000"/>
    <n v="650000"/>
  </r>
  <r>
    <x v="6"/>
    <s v="INV00075"/>
    <x v="3"/>
    <x v="4"/>
    <x v="3"/>
    <x v="0"/>
    <n v="11"/>
    <n v="65000"/>
    <n v="715000"/>
  </r>
  <r>
    <x v="7"/>
    <s v="INV00313"/>
    <x v="2"/>
    <x v="6"/>
    <x v="5"/>
    <x v="2"/>
    <n v="11"/>
    <n v="120000"/>
    <n v="1320000"/>
  </r>
  <r>
    <x v="8"/>
    <s v="INV00531"/>
    <x v="0"/>
    <x v="7"/>
    <x v="6"/>
    <x v="3"/>
    <n v="11"/>
    <n v="55000"/>
    <n v="605000"/>
  </r>
  <r>
    <x v="9"/>
    <s v="INV00823"/>
    <x v="2"/>
    <x v="8"/>
    <x v="2"/>
    <x v="0"/>
    <n v="11"/>
    <n v="120000"/>
    <n v="1320000"/>
  </r>
  <r>
    <x v="10"/>
    <s v="INV00923"/>
    <x v="1"/>
    <x v="0"/>
    <x v="0"/>
    <x v="2"/>
    <n v="11"/>
    <n v="75000"/>
    <n v="825000"/>
  </r>
  <r>
    <x v="11"/>
    <s v="INV00082"/>
    <x v="2"/>
    <x v="9"/>
    <x v="6"/>
    <x v="1"/>
    <n v="12"/>
    <n v="120000"/>
    <n v="1440000"/>
  </r>
  <r>
    <x v="12"/>
    <s v="INV00107"/>
    <x v="3"/>
    <x v="10"/>
    <x v="0"/>
    <x v="0"/>
    <n v="12"/>
    <n v="65000"/>
    <n v="780000"/>
  </r>
  <r>
    <x v="13"/>
    <s v="INV00387"/>
    <x v="3"/>
    <x v="2"/>
    <x v="1"/>
    <x v="0"/>
    <n v="12"/>
    <n v="65000"/>
    <n v="780000"/>
  </r>
  <r>
    <x v="14"/>
    <s v="INV00425"/>
    <x v="2"/>
    <x v="11"/>
    <x v="1"/>
    <x v="1"/>
    <n v="12"/>
    <n v="120000"/>
    <n v="1440000"/>
  </r>
  <r>
    <x v="15"/>
    <s v="INV00476"/>
    <x v="3"/>
    <x v="7"/>
    <x v="6"/>
    <x v="3"/>
    <n v="12"/>
    <n v="65000"/>
    <n v="780000"/>
  </r>
  <r>
    <x v="16"/>
    <s v="INV00846"/>
    <x v="1"/>
    <x v="12"/>
    <x v="2"/>
    <x v="4"/>
    <n v="12"/>
    <n v="75000"/>
    <n v="900000"/>
  </r>
  <r>
    <x v="17"/>
    <s v="INV00315"/>
    <x v="0"/>
    <x v="0"/>
    <x v="0"/>
    <x v="4"/>
    <n v="13"/>
    <n v="55000"/>
    <n v="715000"/>
  </r>
  <r>
    <x v="18"/>
    <s v="INV00359"/>
    <x v="3"/>
    <x v="13"/>
    <x v="1"/>
    <x v="1"/>
    <n v="13"/>
    <n v="65000"/>
    <n v="845000"/>
  </r>
  <r>
    <x v="19"/>
    <s v="INV00915"/>
    <x v="2"/>
    <x v="14"/>
    <x v="5"/>
    <x v="1"/>
    <n v="13"/>
    <n v="120000"/>
    <n v="1560000"/>
  </r>
  <r>
    <x v="20"/>
    <s v="INV00993"/>
    <x v="0"/>
    <x v="15"/>
    <x v="3"/>
    <x v="3"/>
    <n v="13"/>
    <n v="55000"/>
    <n v="715000"/>
  </r>
  <r>
    <x v="21"/>
    <s v="INV00066"/>
    <x v="1"/>
    <x v="16"/>
    <x v="3"/>
    <x v="3"/>
    <n v="14"/>
    <n v="75000"/>
    <n v="1050000"/>
  </r>
  <r>
    <x v="22"/>
    <s v="INV00146"/>
    <x v="3"/>
    <x v="17"/>
    <x v="0"/>
    <x v="3"/>
    <n v="14"/>
    <n v="65000"/>
    <n v="910000"/>
  </r>
  <r>
    <x v="23"/>
    <s v="INV00219"/>
    <x v="2"/>
    <x v="18"/>
    <x v="4"/>
    <x v="0"/>
    <n v="14"/>
    <n v="120000"/>
    <n v="1680000"/>
  </r>
  <r>
    <x v="24"/>
    <s v="INV00228"/>
    <x v="3"/>
    <x v="12"/>
    <x v="2"/>
    <x v="3"/>
    <n v="14"/>
    <n v="65000"/>
    <n v="910000"/>
  </r>
  <r>
    <x v="25"/>
    <s v="INV00265"/>
    <x v="2"/>
    <x v="5"/>
    <x v="4"/>
    <x v="2"/>
    <n v="14"/>
    <n v="120000"/>
    <n v="1680000"/>
  </r>
  <r>
    <x v="26"/>
    <s v="INV00342"/>
    <x v="2"/>
    <x v="4"/>
    <x v="3"/>
    <x v="0"/>
    <n v="14"/>
    <n v="120000"/>
    <n v="1680000"/>
  </r>
  <r>
    <x v="27"/>
    <s v="INV00733"/>
    <x v="3"/>
    <x v="19"/>
    <x v="6"/>
    <x v="1"/>
    <n v="14"/>
    <n v="65000"/>
    <n v="910000"/>
  </r>
  <r>
    <x v="28"/>
    <s v="INV01034"/>
    <x v="3"/>
    <x v="20"/>
    <x v="5"/>
    <x v="4"/>
    <n v="14"/>
    <n v="65000"/>
    <n v="910000"/>
  </r>
  <r>
    <x v="29"/>
    <s v="INV01111"/>
    <x v="1"/>
    <x v="21"/>
    <x v="4"/>
    <x v="2"/>
    <n v="14"/>
    <n v="75000"/>
    <n v="1050000"/>
  </r>
  <r>
    <x v="30"/>
    <s v="INV00085"/>
    <x v="3"/>
    <x v="22"/>
    <x v="0"/>
    <x v="4"/>
    <n v="15"/>
    <n v="65000"/>
    <n v="975000"/>
  </r>
  <r>
    <x v="31"/>
    <s v="INV00191"/>
    <x v="2"/>
    <x v="23"/>
    <x v="1"/>
    <x v="3"/>
    <n v="15"/>
    <n v="120000"/>
    <n v="1800000"/>
  </r>
  <r>
    <x v="32"/>
    <s v="INV00569"/>
    <x v="2"/>
    <x v="8"/>
    <x v="2"/>
    <x v="0"/>
    <n v="15"/>
    <n v="120000"/>
    <n v="1800000"/>
  </r>
  <r>
    <x v="23"/>
    <s v="INV00366"/>
    <x v="1"/>
    <x v="4"/>
    <x v="3"/>
    <x v="1"/>
    <n v="16"/>
    <n v="75000"/>
    <n v="1200000"/>
  </r>
  <r>
    <x v="33"/>
    <s v="INV00409"/>
    <x v="2"/>
    <x v="23"/>
    <x v="1"/>
    <x v="4"/>
    <n v="16"/>
    <n v="120000"/>
    <n v="1920000"/>
  </r>
  <r>
    <x v="34"/>
    <s v="INV00559"/>
    <x v="3"/>
    <x v="24"/>
    <x v="6"/>
    <x v="1"/>
    <n v="16"/>
    <n v="65000"/>
    <n v="1040000"/>
  </r>
  <r>
    <x v="35"/>
    <s v="INV00570"/>
    <x v="3"/>
    <x v="4"/>
    <x v="3"/>
    <x v="1"/>
    <n v="16"/>
    <n v="65000"/>
    <n v="1040000"/>
  </r>
  <r>
    <x v="36"/>
    <s v="INV00633"/>
    <x v="0"/>
    <x v="25"/>
    <x v="5"/>
    <x v="4"/>
    <n v="16"/>
    <n v="55000"/>
    <n v="880000"/>
  </r>
  <r>
    <x v="37"/>
    <s v="INV00762"/>
    <x v="0"/>
    <x v="15"/>
    <x v="3"/>
    <x v="1"/>
    <n v="16"/>
    <n v="55000"/>
    <n v="880000"/>
  </r>
  <r>
    <x v="38"/>
    <s v="INV00870"/>
    <x v="3"/>
    <x v="26"/>
    <x v="0"/>
    <x v="4"/>
    <n v="16"/>
    <n v="65000"/>
    <n v="1040000"/>
  </r>
  <r>
    <x v="39"/>
    <s v="INV00981"/>
    <x v="1"/>
    <x v="27"/>
    <x v="2"/>
    <x v="3"/>
    <n v="16"/>
    <n v="75000"/>
    <n v="1200000"/>
  </r>
  <r>
    <x v="40"/>
    <s v="INV00404"/>
    <x v="3"/>
    <x v="28"/>
    <x v="3"/>
    <x v="1"/>
    <n v="17"/>
    <n v="65000"/>
    <n v="1105000"/>
  </r>
  <r>
    <x v="41"/>
    <s v="INV00411"/>
    <x v="2"/>
    <x v="29"/>
    <x v="3"/>
    <x v="1"/>
    <n v="17"/>
    <n v="120000"/>
    <n v="2040000"/>
  </r>
  <r>
    <x v="42"/>
    <s v="INV00461"/>
    <x v="3"/>
    <x v="13"/>
    <x v="1"/>
    <x v="2"/>
    <n v="17"/>
    <n v="65000"/>
    <n v="1105000"/>
  </r>
  <r>
    <x v="43"/>
    <s v="INV00636"/>
    <x v="0"/>
    <x v="30"/>
    <x v="2"/>
    <x v="1"/>
    <n v="17"/>
    <n v="55000"/>
    <n v="935000"/>
  </r>
  <r>
    <x v="44"/>
    <s v="INV00676"/>
    <x v="1"/>
    <x v="31"/>
    <x v="2"/>
    <x v="3"/>
    <n v="17"/>
    <n v="75000"/>
    <n v="1275000"/>
  </r>
  <r>
    <x v="45"/>
    <s v="INV00739"/>
    <x v="0"/>
    <x v="2"/>
    <x v="1"/>
    <x v="0"/>
    <n v="17"/>
    <n v="55000"/>
    <n v="935000"/>
  </r>
  <r>
    <x v="46"/>
    <s v="INV00838"/>
    <x v="0"/>
    <x v="17"/>
    <x v="0"/>
    <x v="0"/>
    <n v="17"/>
    <n v="55000"/>
    <n v="935000"/>
  </r>
  <r>
    <x v="47"/>
    <s v="INV00886"/>
    <x v="0"/>
    <x v="32"/>
    <x v="4"/>
    <x v="4"/>
    <n v="17"/>
    <n v="55000"/>
    <n v="935000"/>
  </r>
  <r>
    <x v="48"/>
    <s v="INV00929"/>
    <x v="3"/>
    <x v="8"/>
    <x v="2"/>
    <x v="4"/>
    <n v="17"/>
    <n v="65000"/>
    <n v="1105000"/>
  </r>
  <r>
    <x v="49"/>
    <s v="INV00969"/>
    <x v="1"/>
    <x v="14"/>
    <x v="5"/>
    <x v="4"/>
    <n v="17"/>
    <n v="75000"/>
    <n v="1275000"/>
  </r>
  <r>
    <x v="50"/>
    <s v="INV01036"/>
    <x v="1"/>
    <x v="33"/>
    <x v="7"/>
    <x v="4"/>
    <n v="17"/>
    <n v="75000"/>
    <n v="1275000"/>
  </r>
  <r>
    <x v="30"/>
    <s v="INV01161"/>
    <x v="1"/>
    <x v="9"/>
    <x v="6"/>
    <x v="3"/>
    <n v="17"/>
    <n v="75000"/>
    <n v="1275000"/>
  </r>
  <r>
    <x v="51"/>
    <s v="INV00027"/>
    <x v="2"/>
    <x v="25"/>
    <x v="5"/>
    <x v="1"/>
    <n v="18"/>
    <n v="120000"/>
    <n v="2160000"/>
  </r>
  <r>
    <x v="52"/>
    <s v="INV00064"/>
    <x v="2"/>
    <x v="9"/>
    <x v="6"/>
    <x v="1"/>
    <n v="18"/>
    <n v="120000"/>
    <n v="2160000"/>
  </r>
  <r>
    <x v="53"/>
    <s v="INV00240"/>
    <x v="1"/>
    <x v="28"/>
    <x v="3"/>
    <x v="4"/>
    <n v="18"/>
    <n v="75000"/>
    <n v="1350000"/>
  </r>
  <r>
    <x v="54"/>
    <s v="INV00328"/>
    <x v="2"/>
    <x v="15"/>
    <x v="3"/>
    <x v="3"/>
    <n v="18"/>
    <n v="120000"/>
    <n v="2160000"/>
  </r>
  <r>
    <x v="21"/>
    <s v="INV00440"/>
    <x v="1"/>
    <x v="2"/>
    <x v="1"/>
    <x v="4"/>
    <n v="18"/>
    <n v="75000"/>
    <n v="1350000"/>
  </r>
  <r>
    <x v="55"/>
    <s v="INV00910"/>
    <x v="3"/>
    <x v="9"/>
    <x v="6"/>
    <x v="4"/>
    <n v="18"/>
    <n v="65000"/>
    <n v="1170000"/>
  </r>
  <r>
    <x v="56"/>
    <s v="INV01009"/>
    <x v="2"/>
    <x v="21"/>
    <x v="4"/>
    <x v="2"/>
    <n v="18"/>
    <n v="120000"/>
    <n v="2160000"/>
  </r>
  <r>
    <x v="57"/>
    <s v="INV01095"/>
    <x v="3"/>
    <x v="34"/>
    <x v="0"/>
    <x v="2"/>
    <n v="18"/>
    <n v="65000"/>
    <n v="1170000"/>
  </r>
  <r>
    <x v="48"/>
    <s v="INV01149"/>
    <x v="3"/>
    <x v="1"/>
    <x v="1"/>
    <x v="4"/>
    <n v="18"/>
    <n v="65000"/>
    <n v="1170000"/>
  </r>
  <r>
    <x v="58"/>
    <s v="INV00117"/>
    <x v="1"/>
    <x v="35"/>
    <x v="3"/>
    <x v="4"/>
    <n v="19"/>
    <n v="75000"/>
    <n v="1425000"/>
  </r>
  <r>
    <x v="41"/>
    <s v="INV00186"/>
    <x v="1"/>
    <x v="32"/>
    <x v="4"/>
    <x v="4"/>
    <n v="19"/>
    <n v="75000"/>
    <n v="1425000"/>
  </r>
  <r>
    <x v="2"/>
    <s v="INV00310"/>
    <x v="2"/>
    <x v="36"/>
    <x v="7"/>
    <x v="3"/>
    <n v="19"/>
    <n v="120000"/>
    <n v="2280000"/>
  </r>
  <r>
    <x v="59"/>
    <s v="INV00783"/>
    <x v="3"/>
    <x v="12"/>
    <x v="2"/>
    <x v="4"/>
    <n v="19"/>
    <n v="65000"/>
    <n v="1235000"/>
  </r>
  <r>
    <x v="60"/>
    <s v="INV00973"/>
    <x v="0"/>
    <x v="33"/>
    <x v="7"/>
    <x v="4"/>
    <n v="19"/>
    <n v="55000"/>
    <n v="1045000"/>
  </r>
  <r>
    <x v="61"/>
    <s v="INV00302"/>
    <x v="2"/>
    <x v="37"/>
    <x v="0"/>
    <x v="3"/>
    <n v="20"/>
    <n v="120000"/>
    <n v="2400000"/>
  </r>
  <r>
    <x v="62"/>
    <s v="INV00612"/>
    <x v="0"/>
    <x v="20"/>
    <x v="5"/>
    <x v="4"/>
    <n v="20"/>
    <n v="55000"/>
    <n v="1100000"/>
  </r>
  <r>
    <x v="0"/>
    <s v="INV00794"/>
    <x v="1"/>
    <x v="38"/>
    <x v="4"/>
    <x v="2"/>
    <n v="20"/>
    <n v="75000"/>
    <n v="1500000"/>
  </r>
  <r>
    <x v="63"/>
    <s v="INV00837"/>
    <x v="3"/>
    <x v="13"/>
    <x v="1"/>
    <x v="3"/>
    <n v="20"/>
    <n v="65000"/>
    <n v="1300000"/>
  </r>
  <r>
    <x v="64"/>
    <s v="INV00968"/>
    <x v="0"/>
    <x v="6"/>
    <x v="5"/>
    <x v="4"/>
    <n v="20"/>
    <n v="55000"/>
    <n v="1100000"/>
  </r>
  <r>
    <x v="1"/>
    <s v="INV00036"/>
    <x v="0"/>
    <x v="6"/>
    <x v="5"/>
    <x v="1"/>
    <n v="21"/>
    <n v="55000"/>
    <n v="1155000"/>
  </r>
  <r>
    <x v="65"/>
    <s v="INV00552"/>
    <x v="3"/>
    <x v="39"/>
    <x v="4"/>
    <x v="4"/>
    <n v="21"/>
    <n v="65000"/>
    <n v="1365000"/>
  </r>
  <r>
    <x v="66"/>
    <s v="INV00617"/>
    <x v="0"/>
    <x v="21"/>
    <x v="4"/>
    <x v="0"/>
    <n v="21"/>
    <n v="55000"/>
    <n v="1155000"/>
  </r>
  <r>
    <x v="67"/>
    <s v="INV00628"/>
    <x v="0"/>
    <x v="26"/>
    <x v="0"/>
    <x v="1"/>
    <n v="21"/>
    <n v="55000"/>
    <n v="1155000"/>
  </r>
  <r>
    <x v="68"/>
    <s v="INV00965"/>
    <x v="2"/>
    <x v="40"/>
    <x v="5"/>
    <x v="4"/>
    <n v="21"/>
    <n v="120000"/>
    <n v="2520000"/>
  </r>
  <r>
    <x v="9"/>
    <s v="INV01067"/>
    <x v="1"/>
    <x v="13"/>
    <x v="1"/>
    <x v="0"/>
    <n v="21"/>
    <n v="75000"/>
    <n v="1575000"/>
  </r>
  <r>
    <x v="69"/>
    <s v="INV01126"/>
    <x v="2"/>
    <x v="35"/>
    <x v="3"/>
    <x v="1"/>
    <n v="21"/>
    <n v="120000"/>
    <n v="2520000"/>
  </r>
  <r>
    <x v="70"/>
    <s v="INV00037"/>
    <x v="3"/>
    <x v="41"/>
    <x v="1"/>
    <x v="3"/>
    <n v="22"/>
    <n v="65000"/>
    <n v="1430000"/>
  </r>
  <r>
    <x v="71"/>
    <s v="INV00090"/>
    <x v="0"/>
    <x v="28"/>
    <x v="3"/>
    <x v="3"/>
    <n v="22"/>
    <n v="55000"/>
    <n v="1210000"/>
  </r>
  <r>
    <x v="72"/>
    <s v="INV00116"/>
    <x v="0"/>
    <x v="26"/>
    <x v="0"/>
    <x v="1"/>
    <n v="22"/>
    <n v="55000"/>
    <n v="1210000"/>
  </r>
  <r>
    <x v="73"/>
    <s v="INV00256"/>
    <x v="3"/>
    <x v="35"/>
    <x v="3"/>
    <x v="3"/>
    <n v="22"/>
    <n v="65000"/>
    <n v="1430000"/>
  </r>
  <r>
    <x v="74"/>
    <s v="INV00408"/>
    <x v="2"/>
    <x v="27"/>
    <x v="2"/>
    <x v="2"/>
    <n v="22"/>
    <n v="120000"/>
    <n v="2640000"/>
  </r>
  <r>
    <x v="75"/>
    <s v="INV00932"/>
    <x v="2"/>
    <x v="24"/>
    <x v="6"/>
    <x v="1"/>
    <n v="22"/>
    <n v="120000"/>
    <n v="2640000"/>
  </r>
  <r>
    <x v="76"/>
    <s v="INV01090"/>
    <x v="3"/>
    <x v="42"/>
    <x v="0"/>
    <x v="0"/>
    <n v="22"/>
    <n v="65000"/>
    <n v="1430000"/>
  </r>
  <r>
    <x v="77"/>
    <s v="INV01131"/>
    <x v="2"/>
    <x v="34"/>
    <x v="0"/>
    <x v="4"/>
    <n v="22"/>
    <n v="120000"/>
    <n v="2640000"/>
  </r>
  <r>
    <x v="78"/>
    <s v="INV00235"/>
    <x v="0"/>
    <x v="43"/>
    <x v="7"/>
    <x v="2"/>
    <n v="23"/>
    <n v="55000"/>
    <n v="1265000"/>
  </r>
  <r>
    <x v="51"/>
    <s v="INV00682"/>
    <x v="1"/>
    <x v="29"/>
    <x v="3"/>
    <x v="0"/>
    <n v="23"/>
    <n v="75000"/>
    <n v="1725000"/>
  </r>
  <r>
    <x v="75"/>
    <s v="INV00826"/>
    <x v="1"/>
    <x v="11"/>
    <x v="1"/>
    <x v="3"/>
    <n v="23"/>
    <n v="75000"/>
    <n v="1725000"/>
  </r>
  <r>
    <x v="79"/>
    <s v="INV00970"/>
    <x v="2"/>
    <x v="41"/>
    <x v="1"/>
    <x v="3"/>
    <n v="23"/>
    <n v="120000"/>
    <n v="2760000"/>
  </r>
  <r>
    <x v="80"/>
    <s v="INV00998"/>
    <x v="0"/>
    <x v="31"/>
    <x v="2"/>
    <x v="1"/>
    <n v="23"/>
    <n v="55000"/>
    <n v="1265000"/>
  </r>
  <r>
    <x v="81"/>
    <s v="INV01101"/>
    <x v="3"/>
    <x v="37"/>
    <x v="0"/>
    <x v="2"/>
    <n v="23"/>
    <n v="65000"/>
    <n v="1495000"/>
  </r>
  <r>
    <x v="41"/>
    <s v="INV00102"/>
    <x v="1"/>
    <x v="22"/>
    <x v="0"/>
    <x v="1"/>
    <n v="24"/>
    <n v="75000"/>
    <n v="1800000"/>
  </r>
  <r>
    <x v="13"/>
    <s v="INV00545"/>
    <x v="1"/>
    <x v="15"/>
    <x v="3"/>
    <x v="2"/>
    <n v="24"/>
    <n v="75000"/>
    <n v="1800000"/>
  </r>
  <r>
    <x v="82"/>
    <s v="INV00725"/>
    <x v="2"/>
    <x v="44"/>
    <x v="4"/>
    <x v="0"/>
    <n v="24"/>
    <n v="120000"/>
    <n v="2880000"/>
  </r>
  <r>
    <x v="57"/>
    <s v="INV01008"/>
    <x v="2"/>
    <x v="39"/>
    <x v="4"/>
    <x v="2"/>
    <n v="24"/>
    <n v="120000"/>
    <n v="2880000"/>
  </r>
  <r>
    <x v="83"/>
    <s v="INV00004"/>
    <x v="0"/>
    <x v="30"/>
    <x v="2"/>
    <x v="4"/>
    <n v="25"/>
    <n v="55000"/>
    <n v="1375000"/>
  </r>
  <r>
    <x v="70"/>
    <s v="INV00227"/>
    <x v="2"/>
    <x v="5"/>
    <x v="4"/>
    <x v="4"/>
    <n v="25"/>
    <n v="120000"/>
    <n v="3000000"/>
  </r>
  <r>
    <x v="84"/>
    <s v="INV00296"/>
    <x v="1"/>
    <x v="39"/>
    <x v="4"/>
    <x v="1"/>
    <n v="25"/>
    <n v="75000"/>
    <n v="1875000"/>
  </r>
  <r>
    <x v="85"/>
    <s v="INV01133"/>
    <x v="1"/>
    <x v="40"/>
    <x v="5"/>
    <x v="1"/>
    <n v="25"/>
    <n v="75000"/>
    <n v="1875000"/>
  </r>
  <r>
    <x v="86"/>
    <s v="INV00006"/>
    <x v="1"/>
    <x v="18"/>
    <x v="4"/>
    <x v="3"/>
    <n v="26"/>
    <n v="75000"/>
    <n v="1950000"/>
  </r>
  <r>
    <x v="87"/>
    <s v="INV00247"/>
    <x v="1"/>
    <x v="37"/>
    <x v="0"/>
    <x v="3"/>
    <n v="26"/>
    <n v="75000"/>
    <n v="1950000"/>
  </r>
  <r>
    <x v="88"/>
    <s v="INV00290"/>
    <x v="3"/>
    <x v="6"/>
    <x v="5"/>
    <x v="4"/>
    <n v="26"/>
    <n v="65000"/>
    <n v="1690000"/>
  </r>
  <r>
    <x v="89"/>
    <s v="INV00466"/>
    <x v="2"/>
    <x v="36"/>
    <x v="7"/>
    <x v="2"/>
    <n v="26"/>
    <n v="120000"/>
    <n v="3120000"/>
  </r>
  <r>
    <x v="90"/>
    <s v="INV00584"/>
    <x v="1"/>
    <x v="13"/>
    <x v="1"/>
    <x v="2"/>
    <n v="26"/>
    <n v="75000"/>
    <n v="1950000"/>
  </r>
  <r>
    <x v="8"/>
    <s v="INV00594"/>
    <x v="0"/>
    <x v="10"/>
    <x v="0"/>
    <x v="3"/>
    <n v="26"/>
    <n v="55000"/>
    <n v="1430000"/>
  </r>
  <r>
    <x v="91"/>
    <s v="INV00673"/>
    <x v="0"/>
    <x v="23"/>
    <x v="1"/>
    <x v="4"/>
    <n v="26"/>
    <n v="55000"/>
    <n v="1430000"/>
  </r>
  <r>
    <x v="92"/>
    <s v="INV00123"/>
    <x v="3"/>
    <x v="6"/>
    <x v="5"/>
    <x v="3"/>
    <n v="27"/>
    <n v="65000"/>
    <n v="1755000"/>
  </r>
  <r>
    <x v="93"/>
    <s v="INV00463"/>
    <x v="1"/>
    <x v="32"/>
    <x v="4"/>
    <x v="1"/>
    <n v="27"/>
    <n v="75000"/>
    <n v="2025000"/>
  </r>
  <r>
    <x v="94"/>
    <s v="INV00704"/>
    <x v="2"/>
    <x v="41"/>
    <x v="1"/>
    <x v="4"/>
    <n v="27"/>
    <n v="120000"/>
    <n v="3240000"/>
  </r>
  <r>
    <x v="95"/>
    <s v="INV00793"/>
    <x v="0"/>
    <x v="21"/>
    <x v="4"/>
    <x v="2"/>
    <n v="27"/>
    <n v="55000"/>
    <n v="1485000"/>
  </r>
  <r>
    <x v="96"/>
    <s v="INV00991"/>
    <x v="0"/>
    <x v="45"/>
    <x v="6"/>
    <x v="4"/>
    <n v="27"/>
    <n v="55000"/>
    <n v="1485000"/>
  </r>
  <r>
    <x v="97"/>
    <s v="INV01040"/>
    <x v="2"/>
    <x v="14"/>
    <x v="5"/>
    <x v="2"/>
    <n v="27"/>
    <n v="120000"/>
    <n v="3240000"/>
  </r>
  <r>
    <x v="98"/>
    <s v="INV00345"/>
    <x v="2"/>
    <x v="23"/>
    <x v="1"/>
    <x v="1"/>
    <n v="28"/>
    <n v="120000"/>
    <n v="3360000"/>
  </r>
  <r>
    <x v="99"/>
    <s v="INV00722"/>
    <x v="2"/>
    <x v="35"/>
    <x v="3"/>
    <x v="1"/>
    <n v="28"/>
    <n v="120000"/>
    <n v="3360000"/>
  </r>
  <r>
    <x v="100"/>
    <s v="INV00805"/>
    <x v="2"/>
    <x v="41"/>
    <x v="1"/>
    <x v="0"/>
    <n v="28"/>
    <n v="120000"/>
    <n v="3360000"/>
  </r>
  <r>
    <x v="101"/>
    <s v="INV00854"/>
    <x v="3"/>
    <x v="35"/>
    <x v="3"/>
    <x v="3"/>
    <n v="28"/>
    <n v="65000"/>
    <n v="1820000"/>
  </r>
  <r>
    <x v="63"/>
    <s v="INV01199"/>
    <x v="1"/>
    <x v="13"/>
    <x v="1"/>
    <x v="3"/>
    <n v="28"/>
    <n v="75000"/>
    <n v="2100000"/>
  </r>
  <r>
    <x v="87"/>
    <s v="INV00316"/>
    <x v="0"/>
    <x v="18"/>
    <x v="4"/>
    <x v="3"/>
    <n v="29"/>
    <n v="55000"/>
    <n v="1595000"/>
  </r>
  <r>
    <x v="102"/>
    <s v="INV00351"/>
    <x v="2"/>
    <x v="25"/>
    <x v="5"/>
    <x v="4"/>
    <n v="29"/>
    <n v="120000"/>
    <n v="3480000"/>
  </r>
  <r>
    <x v="103"/>
    <s v="INV00534"/>
    <x v="3"/>
    <x v="46"/>
    <x v="3"/>
    <x v="2"/>
    <n v="29"/>
    <n v="65000"/>
    <n v="1885000"/>
  </r>
  <r>
    <x v="2"/>
    <s v="INV00767"/>
    <x v="1"/>
    <x v="1"/>
    <x v="1"/>
    <x v="4"/>
    <n v="29"/>
    <n v="75000"/>
    <n v="2175000"/>
  </r>
  <r>
    <x v="104"/>
    <s v="INV00934"/>
    <x v="2"/>
    <x v="16"/>
    <x v="3"/>
    <x v="2"/>
    <n v="29"/>
    <n v="120000"/>
    <n v="3480000"/>
  </r>
  <r>
    <x v="105"/>
    <s v="INV01145"/>
    <x v="2"/>
    <x v="25"/>
    <x v="5"/>
    <x v="4"/>
    <n v="29"/>
    <n v="120000"/>
    <n v="3480000"/>
  </r>
  <r>
    <x v="106"/>
    <s v="INV01178"/>
    <x v="3"/>
    <x v="23"/>
    <x v="1"/>
    <x v="1"/>
    <n v="29"/>
    <n v="65000"/>
    <n v="1885000"/>
  </r>
  <r>
    <x v="107"/>
    <s v="INV00209"/>
    <x v="1"/>
    <x v="28"/>
    <x v="3"/>
    <x v="3"/>
    <n v="30"/>
    <n v="75000"/>
    <n v="2250000"/>
  </r>
  <r>
    <x v="23"/>
    <s v="INV00318"/>
    <x v="0"/>
    <x v="4"/>
    <x v="3"/>
    <x v="1"/>
    <n v="30"/>
    <n v="55000"/>
    <n v="1650000"/>
  </r>
  <r>
    <x v="76"/>
    <s v="INV00600"/>
    <x v="1"/>
    <x v="11"/>
    <x v="1"/>
    <x v="2"/>
    <n v="30"/>
    <n v="75000"/>
    <n v="2250000"/>
  </r>
  <r>
    <x v="108"/>
    <s v="INV01143"/>
    <x v="1"/>
    <x v="22"/>
    <x v="0"/>
    <x v="1"/>
    <n v="30"/>
    <n v="75000"/>
    <n v="2250000"/>
  </r>
  <r>
    <x v="109"/>
    <s v="INV01194"/>
    <x v="0"/>
    <x v="39"/>
    <x v="4"/>
    <x v="0"/>
    <n v="30"/>
    <n v="55000"/>
    <n v="1650000"/>
  </r>
  <r>
    <x v="74"/>
    <s v="INV00144"/>
    <x v="2"/>
    <x v="8"/>
    <x v="2"/>
    <x v="4"/>
    <n v="31"/>
    <n v="120000"/>
    <n v="3720000"/>
  </r>
  <r>
    <x v="110"/>
    <s v="INV00637"/>
    <x v="2"/>
    <x v="44"/>
    <x v="4"/>
    <x v="4"/>
    <n v="31"/>
    <n v="120000"/>
    <n v="3720000"/>
  </r>
  <r>
    <x v="111"/>
    <s v="INV00813"/>
    <x v="0"/>
    <x v="3"/>
    <x v="2"/>
    <x v="1"/>
    <n v="31"/>
    <n v="55000"/>
    <n v="1705000"/>
  </r>
  <r>
    <x v="53"/>
    <s v="INV00898"/>
    <x v="3"/>
    <x v="44"/>
    <x v="4"/>
    <x v="3"/>
    <n v="31"/>
    <n v="65000"/>
    <n v="2015000"/>
  </r>
  <r>
    <x v="112"/>
    <s v="INV00975"/>
    <x v="3"/>
    <x v="19"/>
    <x v="6"/>
    <x v="1"/>
    <n v="31"/>
    <n v="65000"/>
    <n v="2015000"/>
  </r>
  <r>
    <x v="113"/>
    <s v="INV01046"/>
    <x v="2"/>
    <x v="41"/>
    <x v="1"/>
    <x v="3"/>
    <n v="31"/>
    <n v="120000"/>
    <n v="3720000"/>
  </r>
  <r>
    <x v="114"/>
    <s v="INV00238"/>
    <x v="0"/>
    <x v="13"/>
    <x v="1"/>
    <x v="0"/>
    <n v="32"/>
    <n v="55000"/>
    <n v="1760000"/>
  </r>
  <r>
    <x v="99"/>
    <s v="INV00250"/>
    <x v="2"/>
    <x v="0"/>
    <x v="0"/>
    <x v="2"/>
    <n v="32"/>
    <n v="120000"/>
    <n v="3840000"/>
  </r>
  <r>
    <x v="115"/>
    <s v="INV00301"/>
    <x v="0"/>
    <x v="3"/>
    <x v="2"/>
    <x v="4"/>
    <n v="32"/>
    <n v="55000"/>
    <n v="1760000"/>
  </r>
  <r>
    <x v="116"/>
    <s v="INV00383"/>
    <x v="3"/>
    <x v="27"/>
    <x v="2"/>
    <x v="1"/>
    <n v="32"/>
    <n v="65000"/>
    <n v="2080000"/>
  </r>
  <r>
    <x v="117"/>
    <s v="INV00482"/>
    <x v="1"/>
    <x v="26"/>
    <x v="0"/>
    <x v="4"/>
    <n v="32"/>
    <n v="75000"/>
    <n v="2400000"/>
  </r>
  <r>
    <x v="118"/>
    <s v="INV00501"/>
    <x v="3"/>
    <x v="13"/>
    <x v="1"/>
    <x v="0"/>
    <n v="32"/>
    <n v="65000"/>
    <n v="2080000"/>
  </r>
  <r>
    <x v="119"/>
    <s v="INV00616"/>
    <x v="1"/>
    <x v="26"/>
    <x v="0"/>
    <x v="4"/>
    <n v="32"/>
    <n v="75000"/>
    <n v="2400000"/>
  </r>
  <r>
    <x v="120"/>
    <s v="INV00675"/>
    <x v="2"/>
    <x v="21"/>
    <x v="4"/>
    <x v="3"/>
    <n v="32"/>
    <n v="120000"/>
    <n v="3840000"/>
  </r>
  <r>
    <x v="121"/>
    <s v="INV00716"/>
    <x v="3"/>
    <x v="47"/>
    <x v="3"/>
    <x v="3"/>
    <n v="32"/>
    <n v="65000"/>
    <n v="2080000"/>
  </r>
  <r>
    <x v="122"/>
    <s v="INV00797"/>
    <x v="0"/>
    <x v="18"/>
    <x v="4"/>
    <x v="1"/>
    <n v="32"/>
    <n v="55000"/>
    <n v="1760000"/>
  </r>
  <r>
    <x v="66"/>
    <s v="INV00013"/>
    <x v="2"/>
    <x v="8"/>
    <x v="2"/>
    <x v="0"/>
    <n v="33"/>
    <n v="120000"/>
    <n v="3960000"/>
  </r>
  <r>
    <x v="123"/>
    <s v="INV00257"/>
    <x v="1"/>
    <x v="7"/>
    <x v="6"/>
    <x v="3"/>
    <n v="33"/>
    <n v="75000"/>
    <n v="2475000"/>
  </r>
  <r>
    <x v="124"/>
    <s v="INV00317"/>
    <x v="3"/>
    <x v="6"/>
    <x v="5"/>
    <x v="3"/>
    <n v="33"/>
    <n v="65000"/>
    <n v="2145000"/>
  </r>
  <r>
    <x v="125"/>
    <s v="INV00372"/>
    <x v="2"/>
    <x v="20"/>
    <x v="5"/>
    <x v="2"/>
    <n v="33"/>
    <n v="120000"/>
    <n v="3960000"/>
  </r>
  <r>
    <x v="93"/>
    <s v="INV00422"/>
    <x v="2"/>
    <x v="18"/>
    <x v="4"/>
    <x v="1"/>
    <n v="33"/>
    <n v="120000"/>
    <n v="3960000"/>
  </r>
  <r>
    <x v="93"/>
    <s v="INV00170"/>
    <x v="0"/>
    <x v="7"/>
    <x v="6"/>
    <x v="0"/>
    <n v="34"/>
    <n v="55000"/>
    <n v="1870000"/>
  </r>
  <r>
    <x v="126"/>
    <s v="INV00249"/>
    <x v="1"/>
    <x v="1"/>
    <x v="1"/>
    <x v="0"/>
    <n v="34"/>
    <n v="75000"/>
    <n v="2550000"/>
  </r>
  <r>
    <x v="127"/>
    <s v="INV00542"/>
    <x v="0"/>
    <x v="26"/>
    <x v="0"/>
    <x v="2"/>
    <n v="34"/>
    <n v="55000"/>
    <n v="1870000"/>
  </r>
  <r>
    <x v="128"/>
    <s v="INV00629"/>
    <x v="1"/>
    <x v="36"/>
    <x v="7"/>
    <x v="3"/>
    <n v="34"/>
    <n v="75000"/>
    <n v="2550000"/>
  </r>
  <r>
    <x v="129"/>
    <s v="INV00747"/>
    <x v="2"/>
    <x v="12"/>
    <x v="2"/>
    <x v="4"/>
    <n v="34"/>
    <n v="120000"/>
    <n v="4080000"/>
  </r>
  <r>
    <x v="130"/>
    <s v="INV01024"/>
    <x v="3"/>
    <x v="15"/>
    <x v="3"/>
    <x v="3"/>
    <n v="34"/>
    <n v="65000"/>
    <n v="2210000"/>
  </r>
  <r>
    <x v="31"/>
    <s v="INV00081"/>
    <x v="1"/>
    <x v="41"/>
    <x v="1"/>
    <x v="1"/>
    <n v="35"/>
    <n v="75000"/>
    <n v="2625000"/>
  </r>
  <r>
    <x v="131"/>
    <s v="INV00198"/>
    <x v="0"/>
    <x v="43"/>
    <x v="7"/>
    <x v="3"/>
    <n v="35"/>
    <n v="55000"/>
    <n v="1925000"/>
  </r>
  <r>
    <x v="132"/>
    <s v="INV00269"/>
    <x v="3"/>
    <x v="0"/>
    <x v="0"/>
    <x v="3"/>
    <n v="35"/>
    <n v="65000"/>
    <n v="2275000"/>
  </r>
  <r>
    <x v="55"/>
    <s v="INV00740"/>
    <x v="2"/>
    <x v="17"/>
    <x v="0"/>
    <x v="0"/>
    <n v="35"/>
    <n v="120000"/>
    <n v="4200000"/>
  </r>
  <r>
    <x v="133"/>
    <s v="INV00763"/>
    <x v="1"/>
    <x v="32"/>
    <x v="4"/>
    <x v="3"/>
    <n v="35"/>
    <n v="75000"/>
    <n v="2625000"/>
  </r>
  <r>
    <x v="60"/>
    <s v="INV00708"/>
    <x v="2"/>
    <x v="44"/>
    <x v="4"/>
    <x v="3"/>
    <n v="36"/>
    <n v="120000"/>
    <n v="4320000"/>
  </r>
  <r>
    <x v="39"/>
    <s v="INV00779"/>
    <x v="0"/>
    <x v="48"/>
    <x v="4"/>
    <x v="1"/>
    <n v="36"/>
    <n v="55000"/>
    <n v="1980000"/>
  </r>
  <r>
    <x v="23"/>
    <s v="INV00941"/>
    <x v="1"/>
    <x v="43"/>
    <x v="7"/>
    <x v="1"/>
    <n v="36"/>
    <n v="75000"/>
    <n v="2700000"/>
  </r>
  <r>
    <x v="134"/>
    <s v="INV01000"/>
    <x v="2"/>
    <x v="2"/>
    <x v="1"/>
    <x v="3"/>
    <n v="36"/>
    <n v="120000"/>
    <n v="4320000"/>
  </r>
  <r>
    <x v="135"/>
    <s v="INV00011"/>
    <x v="0"/>
    <x v="25"/>
    <x v="5"/>
    <x v="0"/>
    <n v="37"/>
    <n v="55000"/>
    <n v="2035000"/>
  </r>
  <r>
    <x v="136"/>
    <s v="INV00670"/>
    <x v="3"/>
    <x v="14"/>
    <x v="5"/>
    <x v="3"/>
    <n v="37"/>
    <n v="65000"/>
    <n v="2405000"/>
  </r>
  <r>
    <x v="107"/>
    <s v="INV00705"/>
    <x v="1"/>
    <x v="44"/>
    <x v="4"/>
    <x v="3"/>
    <n v="37"/>
    <n v="75000"/>
    <n v="2775000"/>
  </r>
  <r>
    <x v="137"/>
    <s v="INV00828"/>
    <x v="3"/>
    <x v="29"/>
    <x v="3"/>
    <x v="2"/>
    <n v="37"/>
    <n v="65000"/>
    <n v="2405000"/>
  </r>
  <r>
    <x v="70"/>
    <s v="INV01062"/>
    <x v="2"/>
    <x v="7"/>
    <x v="6"/>
    <x v="4"/>
    <n v="37"/>
    <n v="120000"/>
    <n v="4440000"/>
  </r>
  <r>
    <x v="109"/>
    <s v="INV01139"/>
    <x v="1"/>
    <x v="6"/>
    <x v="5"/>
    <x v="0"/>
    <n v="37"/>
    <n v="75000"/>
    <n v="2775000"/>
  </r>
  <r>
    <x v="138"/>
    <s v="INV00276"/>
    <x v="2"/>
    <x v="43"/>
    <x v="7"/>
    <x v="1"/>
    <n v="38"/>
    <n v="120000"/>
    <n v="4560000"/>
  </r>
  <r>
    <x v="139"/>
    <s v="INV00648"/>
    <x v="1"/>
    <x v="45"/>
    <x v="6"/>
    <x v="1"/>
    <n v="38"/>
    <n v="75000"/>
    <n v="2850000"/>
  </r>
  <r>
    <x v="140"/>
    <s v="INV00803"/>
    <x v="0"/>
    <x v="42"/>
    <x v="0"/>
    <x v="2"/>
    <n v="38"/>
    <n v="55000"/>
    <n v="2090000"/>
  </r>
  <r>
    <x v="141"/>
    <s v="INV00306"/>
    <x v="2"/>
    <x v="23"/>
    <x v="1"/>
    <x v="4"/>
    <n v="39"/>
    <n v="120000"/>
    <n v="4680000"/>
  </r>
  <r>
    <x v="142"/>
    <s v="INV00540"/>
    <x v="0"/>
    <x v="6"/>
    <x v="5"/>
    <x v="4"/>
    <n v="39"/>
    <n v="55000"/>
    <n v="2145000"/>
  </r>
  <r>
    <x v="143"/>
    <s v="INV00888"/>
    <x v="3"/>
    <x v="16"/>
    <x v="3"/>
    <x v="1"/>
    <n v="39"/>
    <n v="65000"/>
    <n v="2535000"/>
  </r>
  <r>
    <x v="143"/>
    <s v="INV01187"/>
    <x v="1"/>
    <x v="26"/>
    <x v="0"/>
    <x v="4"/>
    <n v="39"/>
    <n v="75000"/>
    <n v="2925000"/>
  </r>
  <r>
    <x v="144"/>
    <s v="INV00254"/>
    <x v="3"/>
    <x v="1"/>
    <x v="1"/>
    <x v="4"/>
    <n v="40"/>
    <n v="65000"/>
    <n v="2600000"/>
  </r>
  <r>
    <x v="107"/>
    <s v="INV00403"/>
    <x v="2"/>
    <x v="9"/>
    <x v="6"/>
    <x v="3"/>
    <n v="40"/>
    <n v="120000"/>
    <n v="4800000"/>
  </r>
  <r>
    <x v="45"/>
    <s v="INV00498"/>
    <x v="2"/>
    <x v="33"/>
    <x v="7"/>
    <x v="3"/>
    <n v="40"/>
    <n v="120000"/>
    <n v="4800000"/>
  </r>
  <r>
    <x v="145"/>
    <s v="INV00525"/>
    <x v="1"/>
    <x v="36"/>
    <x v="7"/>
    <x v="2"/>
    <n v="40"/>
    <n v="75000"/>
    <n v="3000000"/>
  </r>
  <r>
    <x v="146"/>
    <s v="INV00681"/>
    <x v="2"/>
    <x v="21"/>
    <x v="4"/>
    <x v="2"/>
    <n v="40"/>
    <n v="120000"/>
    <n v="4800000"/>
  </r>
  <r>
    <x v="147"/>
    <s v="INV00896"/>
    <x v="2"/>
    <x v="24"/>
    <x v="6"/>
    <x v="0"/>
    <n v="40"/>
    <n v="120000"/>
    <n v="4800000"/>
  </r>
  <r>
    <x v="148"/>
    <s v="INV00278"/>
    <x v="2"/>
    <x v="18"/>
    <x v="4"/>
    <x v="1"/>
    <n v="41"/>
    <n v="120000"/>
    <n v="4920000"/>
  </r>
  <r>
    <x v="118"/>
    <s v="INV00715"/>
    <x v="2"/>
    <x v="42"/>
    <x v="0"/>
    <x v="4"/>
    <n v="41"/>
    <n v="120000"/>
    <n v="4920000"/>
  </r>
  <r>
    <x v="46"/>
    <s v="INV00872"/>
    <x v="0"/>
    <x v="21"/>
    <x v="4"/>
    <x v="2"/>
    <n v="41"/>
    <n v="55000"/>
    <n v="2255000"/>
  </r>
  <r>
    <x v="149"/>
    <s v="INV00966"/>
    <x v="3"/>
    <x v="13"/>
    <x v="1"/>
    <x v="2"/>
    <n v="41"/>
    <n v="65000"/>
    <n v="2665000"/>
  </r>
  <r>
    <x v="150"/>
    <s v="INV01115"/>
    <x v="2"/>
    <x v="31"/>
    <x v="2"/>
    <x v="2"/>
    <n v="41"/>
    <n v="120000"/>
    <n v="4920000"/>
  </r>
  <r>
    <x v="13"/>
    <s v="INV00073"/>
    <x v="1"/>
    <x v="35"/>
    <x v="3"/>
    <x v="3"/>
    <n v="42"/>
    <n v="75000"/>
    <n v="3150000"/>
  </r>
  <r>
    <x v="151"/>
    <s v="INV00728"/>
    <x v="2"/>
    <x v="42"/>
    <x v="0"/>
    <x v="1"/>
    <n v="42"/>
    <n v="120000"/>
    <n v="5040000"/>
  </r>
  <r>
    <x v="152"/>
    <s v="INV00749"/>
    <x v="3"/>
    <x v="42"/>
    <x v="0"/>
    <x v="1"/>
    <n v="42"/>
    <n v="65000"/>
    <n v="2730000"/>
  </r>
  <r>
    <x v="71"/>
    <s v="INV00785"/>
    <x v="0"/>
    <x v="25"/>
    <x v="5"/>
    <x v="2"/>
    <n v="42"/>
    <n v="55000"/>
    <n v="2310000"/>
  </r>
  <r>
    <x v="96"/>
    <s v="INV00847"/>
    <x v="0"/>
    <x v="16"/>
    <x v="3"/>
    <x v="0"/>
    <n v="42"/>
    <n v="55000"/>
    <n v="2310000"/>
  </r>
  <r>
    <x v="153"/>
    <s v="INV01037"/>
    <x v="3"/>
    <x v="46"/>
    <x v="3"/>
    <x v="2"/>
    <n v="42"/>
    <n v="65000"/>
    <n v="2730000"/>
  </r>
  <r>
    <x v="42"/>
    <s v="INV01102"/>
    <x v="1"/>
    <x v="39"/>
    <x v="4"/>
    <x v="1"/>
    <n v="42"/>
    <n v="75000"/>
    <n v="3150000"/>
  </r>
  <r>
    <x v="153"/>
    <s v="INV00329"/>
    <x v="3"/>
    <x v="7"/>
    <x v="6"/>
    <x v="4"/>
    <n v="43"/>
    <n v="65000"/>
    <n v="2795000"/>
  </r>
  <r>
    <x v="86"/>
    <s v="INV00451"/>
    <x v="2"/>
    <x v="18"/>
    <x v="4"/>
    <x v="4"/>
    <n v="43"/>
    <n v="120000"/>
    <n v="5160000"/>
  </r>
  <r>
    <x v="154"/>
    <s v="INV00513"/>
    <x v="0"/>
    <x v="40"/>
    <x v="5"/>
    <x v="2"/>
    <n v="43"/>
    <n v="55000"/>
    <n v="2365000"/>
  </r>
  <r>
    <x v="151"/>
    <s v="INV00555"/>
    <x v="2"/>
    <x v="33"/>
    <x v="7"/>
    <x v="1"/>
    <n v="43"/>
    <n v="120000"/>
    <n v="5160000"/>
  </r>
  <r>
    <x v="70"/>
    <s v="INV00610"/>
    <x v="2"/>
    <x v="20"/>
    <x v="5"/>
    <x v="2"/>
    <n v="43"/>
    <n v="120000"/>
    <n v="5160000"/>
  </r>
  <r>
    <x v="34"/>
    <s v="INV00698"/>
    <x v="0"/>
    <x v="22"/>
    <x v="0"/>
    <x v="4"/>
    <n v="43"/>
    <n v="55000"/>
    <n v="2365000"/>
  </r>
  <r>
    <x v="155"/>
    <s v="INV00918"/>
    <x v="3"/>
    <x v="34"/>
    <x v="0"/>
    <x v="1"/>
    <n v="43"/>
    <n v="65000"/>
    <n v="2795000"/>
  </r>
  <r>
    <x v="125"/>
    <s v="INV00940"/>
    <x v="3"/>
    <x v="22"/>
    <x v="0"/>
    <x v="2"/>
    <n v="43"/>
    <n v="65000"/>
    <n v="2795000"/>
  </r>
  <r>
    <x v="100"/>
    <s v="INV00963"/>
    <x v="1"/>
    <x v="0"/>
    <x v="0"/>
    <x v="2"/>
    <n v="43"/>
    <n v="75000"/>
    <n v="3225000"/>
  </r>
  <r>
    <x v="156"/>
    <s v="INV01191"/>
    <x v="2"/>
    <x v="8"/>
    <x v="2"/>
    <x v="4"/>
    <n v="43"/>
    <n v="120000"/>
    <n v="5160000"/>
  </r>
  <r>
    <x v="157"/>
    <s v="INV00473"/>
    <x v="2"/>
    <x v="32"/>
    <x v="4"/>
    <x v="1"/>
    <n v="44"/>
    <n v="120000"/>
    <n v="5280000"/>
  </r>
  <r>
    <x v="158"/>
    <s v="INV00651"/>
    <x v="2"/>
    <x v="4"/>
    <x v="3"/>
    <x v="0"/>
    <n v="44"/>
    <n v="120000"/>
    <n v="5280000"/>
  </r>
  <r>
    <x v="159"/>
    <s v="INV00863"/>
    <x v="0"/>
    <x v="0"/>
    <x v="0"/>
    <x v="0"/>
    <n v="44"/>
    <n v="55000"/>
    <n v="2420000"/>
  </r>
  <r>
    <x v="160"/>
    <s v="INV01154"/>
    <x v="0"/>
    <x v="15"/>
    <x v="3"/>
    <x v="1"/>
    <n v="44"/>
    <n v="55000"/>
    <n v="2420000"/>
  </r>
  <r>
    <x v="115"/>
    <s v="INV00618"/>
    <x v="0"/>
    <x v="37"/>
    <x v="0"/>
    <x v="2"/>
    <n v="45"/>
    <n v="55000"/>
    <n v="2475000"/>
  </r>
  <r>
    <x v="140"/>
    <s v="INV00659"/>
    <x v="2"/>
    <x v="16"/>
    <x v="3"/>
    <x v="4"/>
    <n v="45"/>
    <n v="120000"/>
    <n v="5400000"/>
  </r>
  <r>
    <x v="161"/>
    <s v="INV00804"/>
    <x v="3"/>
    <x v="9"/>
    <x v="6"/>
    <x v="1"/>
    <n v="45"/>
    <n v="65000"/>
    <n v="2925000"/>
  </r>
  <r>
    <x v="19"/>
    <s v="INV00226"/>
    <x v="3"/>
    <x v="7"/>
    <x v="6"/>
    <x v="0"/>
    <n v="46"/>
    <n v="65000"/>
    <n v="2990000"/>
  </r>
  <r>
    <x v="8"/>
    <s v="INV00283"/>
    <x v="3"/>
    <x v="32"/>
    <x v="4"/>
    <x v="3"/>
    <n v="46"/>
    <n v="65000"/>
    <n v="2990000"/>
  </r>
  <r>
    <x v="162"/>
    <s v="INV00309"/>
    <x v="2"/>
    <x v="15"/>
    <x v="3"/>
    <x v="0"/>
    <n v="46"/>
    <n v="120000"/>
    <n v="5520000"/>
  </r>
  <r>
    <x v="163"/>
    <s v="INV00730"/>
    <x v="1"/>
    <x v="10"/>
    <x v="0"/>
    <x v="3"/>
    <n v="46"/>
    <n v="75000"/>
    <n v="3450000"/>
  </r>
  <r>
    <x v="69"/>
    <s v="INV00992"/>
    <x v="2"/>
    <x v="37"/>
    <x v="0"/>
    <x v="0"/>
    <n v="46"/>
    <n v="120000"/>
    <n v="5520000"/>
  </r>
  <r>
    <x v="84"/>
    <s v="INV00050"/>
    <x v="1"/>
    <x v="32"/>
    <x v="4"/>
    <x v="0"/>
    <n v="47"/>
    <n v="75000"/>
    <n v="3525000"/>
  </r>
  <r>
    <x v="164"/>
    <s v="INV00100"/>
    <x v="2"/>
    <x v="17"/>
    <x v="0"/>
    <x v="0"/>
    <n v="47"/>
    <n v="120000"/>
    <n v="5640000"/>
  </r>
  <r>
    <x v="107"/>
    <s v="INV00167"/>
    <x v="0"/>
    <x v="34"/>
    <x v="0"/>
    <x v="1"/>
    <n v="47"/>
    <n v="55000"/>
    <n v="2585000"/>
  </r>
  <r>
    <x v="118"/>
    <s v="INV00187"/>
    <x v="3"/>
    <x v="26"/>
    <x v="0"/>
    <x v="1"/>
    <n v="47"/>
    <n v="65000"/>
    <n v="3055000"/>
  </r>
  <r>
    <x v="19"/>
    <s v="INV00401"/>
    <x v="3"/>
    <x v="15"/>
    <x v="3"/>
    <x v="0"/>
    <n v="47"/>
    <n v="65000"/>
    <n v="3055000"/>
  </r>
  <r>
    <x v="165"/>
    <s v="INV00460"/>
    <x v="1"/>
    <x v="49"/>
    <x v="7"/>
    <x v="1"/>
    <n v="47"/>
    <n v="75000"/>
    <n v="3525000"/>
  </r>
  <r>
    <x v="30"/>
    <s v="INV00819"/>
    <x v="0"/>
    <x v="31"/>
    <x v="2"/>
    <x v="2"/>
    <n v="47"/>
    <n v="55000"/>
    <n v="2585000"/>
  </r>
  <r>
    <x v="166"/>
    <s v="INV00895"/>
    <x v="3"/>
    <x v="42"/>
    <x v="0"/>
    <x v="1"/>
    <n v="47"/>
    <n v="65000"/>
    <n v="3055000"/>
  </r>
  <r>
    <x v="167"/>
    <s v="INV01056"/>
    <x v="2"/>
    <x v="12"/>
    <x v="2"/>
    <x v="3"/>
    <n v="47"/>
    <n v="120000"/>
    <n v="5640000"/>
  </r>
  <r>
    <x v="168"/>
    <s v="INV01119"/>
    <x v="0"/>
    <x v="41"/>
    <x v="1"/>
    <x v="3"/>
    <n v="47"/>
    <n v="55000"/>
    <n v="2585000"/>
  </r>
  <r>
    <x v="169"/>
    <s v="INV01196"/>
    <x v="3"/>
    <x v="32"/>
    <x v="4"/>
    <x v="4"/>
    <n v="47"/>
    <n v="65000"/>
    <n v="3055000"/>
  </r>
  <r>
    <x v="170"/>
    <s v="INV00606"/>
    <x v="1"/>
    <x v="43"/>
    <x v="7"/>
    <x v="4"/>
    <n v="48"/>
    <n v="75000"/>
    <n v="3600000"/>
  </r>
  <r>
    <x v="171"/>
    <s v="INV00655"/>
    <x v="3"/>
    <x v="37"/>
    <x v="0"/>
    <x v="0"/>
    <n v="48"/>
    <n v="65000"/>
    <n v="3120000"/>
  </r>
  <r>
    <x v="172"/>
    <s v="INV00844"/>
    <x v="2"/>
    <x v="6"/>
    <x v="5"/>
    <x v="0"/>
    <n v="48"/>
    <n v="120000"/>
    <n v="5760000"/>
  </r>
  <r>
    <x v="173"/>
    <s v="INV00990"/>
    <x v="0"/>
    <x v="4"/>
    <x v="3"/>
    <x v="0"/>
    <n v="48"/>
    <n v="55000"/>
    <n v="2640000"/>
  </r>
  <r>
    <x v="87"/>
    <s v="INV01022"/>
    <x v="2"/>
    <x v="41"/>
    <x v="1"/>
    <x v="2"/>
    <n v="48"/>
    <n v="120000"/>
    <n v="5760000"/>
  </r>
  <r>
    <x v="174"/>
    <s v="INV01029"/>
    <x v="2"/>
    <x v="8"/>
    <x v="2"/>
    <x v="1"/>
    <n v="48"/>
    <n v="120000"/>
    <n v="5760000"/>
  </r>
  <r>
    <x v="175"/>
    <s v="INV01185"/>
    <x v="2"/>
    <x v="13"/>
    <x v="1"/>
    <x v="4"/>
    <n v="48"/>
    <n v="120000"/>
    <n v="5760000"/>
  </r>
  <r>
    <x v="176"/>
    <s v="INV00214"/>
    <x v="0"/>
    <x v="48"/>
    <x v="4"/>
    <x v="1"/>
    <n v="49"/>
    <n v="55000"/>
    <n v="2695000"/>
  </r>
  <r>
    <x v="177"/>
    <s v="INV00477"/>
    <x v="2"/>
    <x v="5"/>
    <x v="4"/>
    <x v="3"/>
    <n v="49"/>
    <n v="120000"/>
    <n v="5880000"/>
  </r>
  <r>
    <x v="177"/>
    <s v="INV00989"/>
    <x v="1"/>
    <x v="14"/>
    <x v="5"/>
    <x v="1"/>
    <n v="49"/>
    <n v="75000"/>
    <n v="3675000"/>
  </r>
  <r>
    <x v="106"/>
    <s v="INV00273"/>
    <x v="1"/>
    <x v="13"/>
    <x v="1"/>
    <x v="2"/>
    <n v="50"/>
    <n v="75000"/>
    <n v="3750000"/>
  </r>
  <r>
    <x v="178"/>
    <s v="INV00308"/>
    <x v="0"/>
    <x v="24"/>
    <x v="6"/>
    <x v="4"/>
    <n v="50"/>
    <n v="55000"/>
    <n v="2750000"/>
  </r>
  <r>
    <x v="179"/>
    <s v="INV00335"/>
    <x v="1"/>
    <x v="43"/>
    <x v="7"/>
    <x v="2"/>
    <n v="50"/>
    <n v="75000"/>
    <n v="3750000"/>
  </r>
  <r>
    <x v="180"/>
    <s v="INV00583"/>
    <x v="1"/>
    <x v="32"/>
    <x v="4"/>
    <x v="0"/>
    <n v="50"/>
    <n v="75000"/>
    <n v="3750000"/>
  </r>
  <r>
    <x v="118"/>
    <s v="INV00589"/>
    <x v="2"/>
    <x v="20"/>
    <x v="5"/>
    <x v="1"/>
    <n v="50"/>
    <n v="120000"/>
    <n v="6000000"/>
  </r>
  <r>
    <x v="181"/>
    <s v="INV00811"/>
    <x v="1"/>
    <x v="46"/>
    <x v="3"/>
    <x v="2"/>
    <n v="50"/>
    <n v="75000"/>
    <n v="3750000"/>
  </r>
  <r>
    <x v="178"/>
    <s v="INV00860"/>
    <x v="1"/>
    <x v="43"/>
    <x v="7"/>
    <x v="2"/>
    <n v="50"/>
    <n v="75000"/>
    <n v="3750000"/>
  </r>
  <r>
    <x v="182"/>
    <s v="INV00957"/>
    <x v="1"/>
    <x v="40"/>
    <x v="5"/>
    <x v="1"/>
    <n v="50"/>
    <n v="75000"/>
    <n v="3750000"/>
  </r>
  <r>
    <x v="183"/>
    <s v="INV01020"/>
    <x v="0"/>
    <x v="2"/>
    <x v="1"/>
    <x v="2"/>
    <n v="50"/>
    <n v="55000"/>
    <n v="2750000"/>
  </r>
  <r>
    <x v="184"/>
    <s v="INV00667"/>
    <x v="3"/>
    <x v="16"/>
    <x v="3"/>
    <x v="2"/>
    <n v="51"/>
    <n v="65000"/>
    <n v="3315000"/>
  </r>
  <r>
    <x v="185"/>
    <s v="INV00678"/>
    <x v="0"/>
    <x v="2"/>
    <x v="1"/>
    <x v="1"/>
    <n v="51"/>
    <n v="55000"/>
    <n v="2805000"/>
  </r>
  <r>
    <x v="165"/>
    <s v="INV00729"/>
    <x v="1"/>
    <x v="43"/>
    <x v="7"/>
    <x v="0"/>
    <n v="51"/>
    <n v="75000"/>
    <n v="3825000"/>
  </r>
  <r>
    <x v="160"/>
    <s v="INV00978"/>
    <x v="3"/>
    <x v="15"/>
    <x v="3"/>
    <x v="4"/>
    <n v="51"/>
    <n v="65000"/>
    <n v="3315000"/>
  </r>
  <r>
    <x v="186"/>
    <s v="INV01075"/>
    <x v="1"/>
    <x v="11"/>
    <x v="1"/>
    <x v="0"/>
    <n v="51"/>
    <n v="75000"/>
    <n v="3825000"/>
  </r>
  <r>
    <x v="55"/>
    <s v="INV00173"/>
    <x v="3"/>
    <x v="46"/>
    <x v="3"/>
    <x v="4"/>
    <n v="52"/>
    <n v="65000"/>
    <n v="3380000"/>
  </r>
  <r>
    <x v="162"/>
    <s v="INV00427"/>
    <x v="0"/>
    <x v="7"/>
    <x v="6"/>
    <x v="4"/>
    <n v="52"/>
    <n v="55000"/>
    <n v="2860000"/>
  </r>
  <r>
    <x v="47"/>
    <s v="INV00499"/>
    <x v="0"/>
    <x v="7"/>
    <x v="6"/>
    <x v="1"/>
    <n v="52"/>
    <n v="55000"/>
    <n v="2860000"/>
  </r>
  <r>
    <x v="187"/>
    <s v="INV00564"/>
    <x v="2"/>
    <x v="39"/>
    <x v="4"/>
    <x v="3"/>
    <n v="52"/>
    <n v="120000"/>
    <n v="6240000"/>
  </r>
  <r>
    <x v="176"/>
    <s v="INV00592"/>
    <x v="3"/>
    <x v="43"/>
    <x v="7"/>
    <x v="3"/>
    <n v="52"/>
    <n v="65000"/>
    <n v="3380000"/>
  </r>
  <r>
    <x v="188"/>
    <s v="INV01112"/>
    <x v="0"/>
    <x v="32"/>
    <x v="4"/>
    <x v="4"/>
    <n v="52"/>
    <n v="55000"/>
    <n v="2860000"/>
  </r>
  <r>
    <x v="32"/>
    <s v="INV01146"/>
    <x v="1"/>
    <x v="24"/>
    <x v="6"/>
    <x v="0"/>
    <n v="52"/>
    <n v="75000"/>
    <n v="3900000"/>
  </r>
  <r>
    <x v="46"/>
    <s v="INV01169"/>
    <x v="3"/>
    <x v="9"/>
    <x v="6"/>
    <x v="4"/>
    <n v="52"/>
    <n v="65000"/>
    <n v="3380000"/>
  </r>
  <r>
    <x v="151"/>
    <s v="INV00244"/>
    <x v="0"/>
    <x v="3"/>
    <x v="2"/>
    <x v="2"/>
    <n v="53"/>
    <n v="55000"/>
    <n v="2915000"/>
  </r>
  <r>
    <x v="189"/>
    <s v="INV00421"/>
    <x v="0"/>
    <x v="37"/>
    <x v="0"/>
    <x v="1"/>
    <n v="53"/>
    <n v="55000"/>
    <n v="2915000"/>
  </r>
  <r>
    <x v="114"/>
    <s v="INV00665"/>
    <x v="2"/>
    <x v="34"/>
    <x v="0"/>
    <x v="3"/>
    <n v="53"/>
    <n v="120000"/>
    <n v="6360000"/>
  </r>
  <r>
    <x v="190"/>
    <s v="INV00950"/>
    <x v="3"/>
    <x v="5"/>
    <x v="4"/>
    <x v="0"/>
    <n v="53"/>
    <n v="65000"/>
    <n v="3445000"/>
  </r>
  <r>
    <x v="191"/>
    <s v="INV00056"/>
    <x v="0"/>
    <x v="43"/>
    <x v="7"/>
    <x v="0"/>
    <n v="54"/>
    <n v="55000"/>
    <n v="2970000"/>
  </r>
  <r>
    <x v="192"/>
    <s v="INV00169"/>
    <x v="0"/>
    <x v="19"/>
    <x v="6"/>
    <x v="2"/>
    <n v="54"/>
    <n v="55000"/>
    <n v="2970000"/>
  </r>
  <r>
    <x v="193"/>
    <s v="INV00243"/>
    <x v="1"/>
    <x v="35"/>
    <x v="3"/>
    <x v="2"/>
    <n v="54"/>
    <n v="75000"/>
    <n v="4050000"/>
  </r>
  <r>
    <x v="74"/>
    <s v="INV00807"/>
    <x v="3"/>
    <x v="8"/>
    <x v="2"/>
    <x v="4"/>
    <n v="54"/>
    <n v="65000"/>
    <n v="3510000"/>
  </r>
  <r>
    <x v="118"/>
    <s v="INV00831"/>
    <x v="0"/>
    <x v="32"/>
    <x v="4"/>
    <x v="4"/>
    <n v="54"/>
    <n v="55000"/>
    <n v="2970000"/>
  </r>
  <r>
    <x v="194"/>
    <s v="INV00943"/>
    <x v="2"/>
    <x v="27"/>
    <x v="2"/>
    <x v="0"/>
    <n v="54"/>
    <n v="120000"/>
    <n v="6480000"/>
  </r>
  <r>
    <x v="178"/>
    <s v="INV00949"/>
    <x v="2"/>
    <x v="18"/>
    <x v="4"/>
    <x v="0"/>
    <n v="54"/>
    <n v="120000"/>
    <n v="6480000"/>
  </r>
  <r>
    <x v="69"/>
    <s v="INV01098"/>
    <x v="0"/>
    <x v="47"/>
    <x v="3"/>
    <x v="2"/>
    <n v="54"/>
    <n v="55000"/>
    <n v="2970000"/>
  </r>
  <r>
    <x v="139"/>
    <s v="INV00251"/>
    <x v="2"/>
    <x v="46"/>
    <x v="3"/>
    <x v="4"/>
    <n v="55"/>
    <n v="120000"/>
    <n v="6600000"/>
  </r>
  <r>
    <x v="195"/>
    <s v="INV00270"/>
    <x v="3"/>
    <x v="30"/>
    <x v="2"/>
    <x v="2"/>
    <n v="55"/>
    <n v="65000"/>
    <n v="3575000"/>
  </r>
  <r>
    <x v="196"/>
    <s v="INV00360"/>
    <x v="3"/>
    <x v="49"/>
    <x v="7"/>
    <x v="2"/>
    <n v="55"/>
    <n v="65000"/>
    <n v="3575000"/>
  </r>
  <r>
    <x v="197"/>
    <s v="INV00585"/>
    <x v="0"/>
    <x v="41"/>
    <x v="1"/>
    <x v="0"/>
    <n v="55"/>
    <n v="55000"/>
    <n v="3025000"/>
  </r>
  <r>
    <x v="88"/>
    <s v="INV00833"/>
    <x v="0"/>
    <x v="22"/>
    <x v="0"/>
    <x v="3"/>
    <n v="55"/>
    <n v="55000"/>
    <n v="3025000"/>
  </r>
  <r>
    <x v="198"/>
    <s v="INV00850"/>
    <x v="3"/>
    <x v="20"/>
    <x v="5"/>
    <x v="1"/>
    <n v="55"/>
    <n v="65000"/>
    <n v="3575000"/>
  </r>
  <r>
    <x v="199"/>
    <s v="INV01071"/>
    <x v="2"/>
    <x v="17"/>
    <x v="0"/>
    <x v="1"/>
    <n v="55"/>
    <n v="120000"/>
    <n v="6600000"/>
  </r>
  <r>
    <x v="200"/>
    <s v="INV01168"/>
    <x v="2"/>
    <x v="30"/>
    <x v="2"/>
    <x v="4"/>
    <n v="55"/>
    <n v="120000"/>
    <n v="6600000"/>
  </r>
  <r>
    <x v="201"/>
    <s v="INV01177"/>
    <x v="1"/>
    <x v="15"/>
    <x v="3"/>
    <x v="3"/>
    <n v="55"/>
    <n v="75000"/>
    <n v="4125000"/>
  </r>
  <r>
    <x v="170"/>
    <s v="INV00815"/>
    <x v="2"/>
    <x v="47"/>
    <x v="3"/>
    <x v="4"/>
    <n v="56"/>
    <n v="120000"/>
    <n v="6720000"/>
  </r>
  <r>
    <x v="202"/>
    <s v="INV00047"/>
    <x v="1"/>
    <x v="31"/>
    <x v="2"/>
    <x v="2"/>
    <n v="57"/>
    <n v="75000"/>
    <n v="4275000"/>
  </r>
  <r>
    <x v="198"/>
    <s v="INV00069"/>
    <x v="1"/>
    <x v="0"/>
    <x v="0"/>
    <x v="3"/>
    <n v="57"/>
    <n v="75000"/>
    <n v="4275000"/>
  </r>
  <r>
    <x v="66"/>
    <s v="INV00101"/>
    <x v="3"/>
    <x v="13"/>
    <x v="1"/>
    <x v="1"/>
    <n v="57"/>
    <n v="65000"/>
    <n v="3705000"/>
  </r>
  <r>
    <x v="203"/>
    <s v="INV00135"/>
    <x v="3"/>
    <x v="41"/>
    <x v="1"/>
    <x v="0"/>
    <n v="57"/>
    <n v="65000"/>
    <n v="3705000"/>
  </r>
  <r>
    <x v="204"/>
    <s v="INV00185"/>
    <x v="2"/>
    <x v="47"/>
    <x v="3"/>
    <x v="2"/>
    <n v="57"/>
    <n v="120000"/>
    <n v="6840000"/>
  </r>
  <r>
    <x v="117"/>
    <s v="INV00285"/>
    <x v="0"/>
    <x v="13"/>
    <x v="1"/>
    <x v="3"/>
    <n v="57"/>
    <n v="55000"/>
    <n v="3135000"/>
  </r>
  <r>
    <x v="45"/>
    <s v="INV00362"/>
    <x v="1"/>
    <x v="15"/>
    <x v="3"/>
    <x v="1"/>
    <n v="57"/>
    <n v="75000"/>
    <n v="4275000"/>
  </r>
  <r>
    <x v="129"/>
    <s v="INV00532"/>
    <x v="3"/>
    <x v="21"/>
    <x v="4"/>
    <x v="4"/>
    <n v="57"/>
    <n v="65000"/>
    <n v="3705000"/>
  </r>
  <r>
    <x v="205"/>
    <s v="INV00700"/>
    <x v="2"/>
    <x v="44"/>
    <x v="4"/>
    <x v="1"/>
    <n v="57"/>
    <n v="120000"/>
    <n v="6840000"/>
  </r>
  <r>
    <x v="206"/>
    <s v="INV00802"/>
    <x v="3"/>
    <x v="35"/>
    <x v="3"/>
    <x v="0"/>
    <n v="57"/>
    <n v="65000"/>
    <n v="3705000"/>
  </r>
  <r>
    <x v="135"/>
    <s v="INV01052"/>
    <x v="1"/>
    <x v="26"/>
    <x v="0"/>
    <x v="0"/>
    <n v="57"/>
    <n v="75000"/>
    <n v="4275000"/>
  </r>
  <r>
    <x v="113"/>
    <s v="INV00087"/>
    <x v="2"/>
    <x v="14"/>
    <x v="5"/>
    <x v="2"/>
    <n v="59"/>
    <n v="120000"/>
    <n v="7080000"/>
  </r>
  <r>
    <x v="207"/>
    <s v="INV00188"/>
    <x v="2"/>
    <x v="2"/>
    <x v="1"/>
    <x v="0"/>
    <n v="59"/>
    <n v="120000"/>
    <n v="7080000"/>
  </r>
  <r>
    <x v="207"/>
    <s v="INV00382"/>
    <x v="0"/>
    <x v="22"/>
    <x v="0"/>
    <x v="3"/>
    <n v="59"/>
    <n v="55000"/>
    <n v="3245000"/>
  </r>
  <r>
    <x v="206"/>
    <s v="INV00395"/>
    <x v="2"/>
    <x v="42"/>
    <x v="0"/>
    <x v="1"/>
    <n v="59"/>
    <n v="120000"/>
    <n v="7080000"/>
  </r>
  <r>
    <x v="30"/>
    <s v="INV00457"/>
    <x v="3"/>
    <x v="31"/>
    <x v="2"/>
    <x v="3"/>
    <n v="59"/>
    <n v="65000"/>
    <n v="3835000"/>
  </r>
  <r>
    <x v="185"/>
    <s v="INV00500"/>
    <x v="0"/>
    <x v="31"/>
    <x v="2"/>
    <x v="0"/>
    <n v="59"/>
    <n v="55000"/>
    <n v="3245000"/>
  </r>
  <r>
    <x v="208"/>
    <s v="INV00630"/>
    <x v="1"/>
    <x v="35"/>
    <x v="3"/>
    <x v="1"/>
    <n v="59"/>
    <n v="75000"/>
    <n v="4425000"/>
  </r>
  <r>
    <x v="70"/>
    <s v="INV00832"/>
    <x v="3"/>
    <x v="33"/>
    <x v="7"/>
    <x v="2"/>
    <n v="59"/>
    <n v="65000"/>
    <n v="3835000"/>
  </r>
  <r>
    <x v="209"/>
    <s v="INV01038"/>
    <x v="3"/>
    <x v="26"/>
    <x v="0"/>
    <x v="0"/>
    <n v="59"/>
    <n v="65000"/>
    <n v="3835000"/>
  </r>
  <r>
    <x v="132"/>
    <s v="INV00010"/>
    <x v="0"/>
    <x v="3"/>
    <x v="2"/>
    <x v="3"/>
    <n v="60"/>
    <n v="55000"/>
    <n v="3300000"/>
  </r>
  <r>
    <x v="210"/>
    <s v="INV00020"/>
    <x v="3"/>
    <x v="47"/>
    <x v="3"/>
    <x v="1"/>
    <n v="60"/>
    <n v="65000"/>
    <n v="3900000"/>
  </r>
  <r>
    <x v="211"/>
    <s v="INV00039"/>
    <x v="0"/>
    <x v="12"/>
    <x v="2"/>
    <x v="2"/>
    <n v="60"/>
    <n v="55000"/>
    <n v="3300000"/>
  </r>
  <r>
    <x v="53"/>
    <s v="INV00284"/>
    <x v="2"/>
    <x v="33"/>
    <x v="7"/>
    <x v="3"/>
    <n v="60"/>
    <n v="120000"/>
    <n v="7200000"/>
  </r>
  <r>
    <x v="94"/>
    <s v="INV00597"/>
    <x v="1"/>
    <x v="43"/>
    <x v="7"/>
    <x v="4"/>
    <n v="60"/>
    <n v="75000"/>
    <n v="4500000"/>
  </r>
  <r>
    <x v="2"/>
    <s v="INV00603"/>
    <x v="3"/>
    <x v="23"/>
    <x v="1"/>
    <x v="0"/>
    <n v="60"/>
    <n v="65000"/>
    <n v="3900000"/>
  </r>
  <r>
    <x v="212"/>
    <s v="INV00935"/>
    <x v="1"/>
    <x v="12"/>
    <x v="2"/>
    <x v="1"/>
    <n v="60"/>
    <n v="75000"/>
    <n v="4500000"/>
  </r>
  <r>
    <x v="213"/>
    <s v="INV00937"/>
    <x v="3"/>
    <x v="41"/>
    <x v="1"/>
    <x v="4"/>
    <n v="60"/>
    <n v="65000"/>
    <n v="3900000"/>
  </r>
  <r>
    <x v="131"/>
    <s v="INV00986"/>
    <x v="0"/>
    <x v="36"/>
    <x v="7"/>
    <x v="1"/>
    <n v="60"/>
    <n v="55000"/>
    <n v="3300000"/>
  </r>
  <r>
    <x v="38"/>
    <s v="INV01016"/>
    <x v="0"/>
    <x v="15"/>
    <x v="3"/>
    <x v="4"/>
    <n v="60"/>
    <n v="55000"/>
    <n v="3300000"/>
  </r>
  <r>
    <x v="74"/>
    <s v="INV01125"/>
    <x v="1"/>
    <x v="26"/>
    <x v="0"/>
    <x v="2"/>
    <n v="60"/>
    <n v="75000"/>
    <n v="4500000"/>
  </r>
  <r>
    <x v="214"/>
    <s v="INV00110"/>
    <x v="1"/>
    <x v="37"/>
    <x v="0"/>
    <x v="1"/>
    <n v="61"/>
    <n v="75000"/>
    <n v="4575000"/>
  </r>
  <r>
    <x v="119"/>
    <s v="INV00386"/>
    <x v="0"/>
    <x v="49"/>
    <x v="7"/>
    <x v="0"/>
    <n v="61"/>
    <n v="55000"/>
    <n v="3355000"/>
  </r>
  <r>
    <x v="156"/>
    <s v="INV00390"/>
    <x v="2"/>
    <x v="38"/>
    <x v="4"/>
    <x v="3"/>
    <n v="61"/>
    <n v="120000"/>
    <n v="7320000"/>
  </r>
  <r>
    <x v="99"/>
    <s v="INV00474"/>
    <x v="1"/>
    <x v="34"/>
    <x v="0"/>
    <x v="4"/>
    <n v="61"/>
    <n v="75000"/>
    <n v="4575000"/>
  </r>
  <r>
    <x v="99"/>
    <s v="INV00524"/>
    <x v="0"/>
    <x v="10"/>
    <x v="0"/>
    <x v="3"/>
    <n v="61"/>
    <n v="55000"/>
    <n v="3355000"/>
  </r>
  <r>
    <x v="215"/>
    <s v="INV00527"/>
    <x v="1"/>
    <x v="15"/>
    <x v="3"/>
    <x v="0"/>
    <n v="61"/>
    <n v="75000"/>
    <n v="4575000"/>
  </r>
  <r>
    <x v="47"/>
    <s v="INV00575"/>
    <x v="3"/>
    <x v="47"/>
    <x v="3"/>
    <x v="0"/>
    <n v="61"/>
    <n v="65000"/>
    <n v="3965000"/>
  </r>
  <r>
    <x v="165"/>
    <s v="INV00674"/>
    <x v="0"/>
    <x v="28"/>
    <x v="3"/>
    <x v="0"/>
    <n v="61"/>
    <n v="55000"/>
    <n v="3355000"/>
  </r>
  <r>
    <x v="216"/>
    <s v="INV00737"/>
    <x v="3"/>
    <x v="20"/>
    <x v="5"/>
    <x v="3"/>
    <n v="61"/>
    <n v="65000"/>
    <n v="3965000"/>
  </r>
  <r>
    <x v="175"/>
    <s v="INV00977"/>
    <x v="2"/>
    <x v="29"/>
    <x v="3"/>
    <x v="2"/>
    <n v="61"/>
    <n v="120000"/>
    <n v="7320000"/>
  </r>
  <r>
    <x v="217"/>
    <s v="INV01096"/>
    <x v="2"/>
    <x v="34"/>
    <x v="0"/>
    <x v="0"/>
    <n v="61"/>
    <n v="120000"/>
    <n v="7320000"/>
  </r>
  <r>
    <x v="122"/>
    <s v="INV00109"/>
    <x v="0"/>
    <x v="30"/>
    <x v="2"/>
    <x v="1"/>
    <n v="62"/>
    <n v="55000"/>
    <n v="3410000"/>
  </r>
  <r>
    <x v="218"/>
    <s v="INV00203"/>
    <x v="1"/>
    <x v="3"/>
    <x v="2"/>
    <x v="0"/>
    <n v="62"/>
    <n v="75000"/>
    <n v="4650000"/>
  </r>
  <r>
    <x v="140"/>
    <s v="INV00271"/>
    <x v="2"/>
    <x v="21"/>
    <x v="4"/>
    <x v="2"/>
    <n v="62"/>
    <n v="120000"/>
    <n v="7440000"/>
  </r>
  <r>
    <x v="89"/>
    <s v="INV00364"/>
    <x v="0"/>
    <x v="41"/>
    <x v="1"/>
    <x v="3"/>
    <n v="62"/>
    <n v="55000"/>
    <n v="3410000"/>
  </r>
  <r>
    <x v="76"/>
    <s v="INV00732"/>
    <x v="3"/>
    <x v="28"/>
    <x v="3"/>
    <x v="0"/>
    <n v="62"/>
    <n v="65000"/>
    <n v="4030000"/>
  </r>
  <r>
    <x v="42"/>
    <s v="INV01077"/>
    <x v="1"/>
    <x v="10"/>
    <x v="0"/>
    <x v="3"/>
    <n v="62"/>
    <n v="75000"/>
    <n v="4650000"/>
  </r>
  <r>
    <x v="188"/>
    <s v="INV01160"/>
    <x v="1"/>
    <x v="1"/>
    <x v="1"/>
    <x v="0"/>
    <n v="62"/>
    <n v="75000"/>
    <n v="4650000"/>
  </r>
  <r>
    <x v="219"/>
    <s v="INV00072"/>
    <x v="3"/>
    <x v="38"/>
    <x v="4"/>
    <x v="4"/>
    <n v="63"/>
    <n v="65000"/>
    <n v="4095000"/>
  </r>
  <r>
    <x v="136"/>
    <s v="INV00150"/>
    <x v="3"/>
    <x v="44"/>
    <x v="4"/>
    <x v="0"/>
    <n v="63"/>
    <n v="65000"/>
    <n v="4095000"/>
  </r>
  <r>
    <x v="220"/>
    <s v="INV00410"/>
    <x v="0"/>
    <x v="17"/>
    <x v="0"/>
    <x v="0"/>
    <n v="63"/>
    <n v="55000"/>
    <n v="3465000"/>
  </r>
  <r>
    <x v="40"/>
    <s v="INV00450"/>
    <x v="3"/>
    <x v="10"/>
    <x v="0"/>
    <x v="1"/>
    <n v="63"/>
    <n v="65000"/>
    <n v="4095000"/>
  </r>
  <r>
    <x v="221"/>
    <s v="INV00593"/>
    <x v="3"/>
    <x v="0"/>
    <x v="0"/>
    <x v="2"/>
    <n v="63"/>
    <n v="65000"/>
    <n v="4095000"/>
  </r>
  <r>
    <x v="2"/>
    <s v="INV00720"/>
    <x v="0"/>
    <x v="26"/>
    <x v="0"/>
    <x v="0"/>
    <n v="63"/>
    <n v="55000"/>
    <n v="3465000"/>
  </r>
  <r>
    <x v="75"/>
    <s v="INV00920"/>
    <x v="0"/>
    <x v="47"/>
    <x v="3"/>
    <x v="2"/>
    <n v="63"/>
    <n v="55000"/>
    <n v="3465000"/>
  </r>
  <r>
    <x v="23"/>
    <s v="INV00033"/>
    <x v="1"/>
    <x v="28"/>
    <x v="3"/>
    <x v="0"/>
    <n v="64"/>
    <n v="75000"/>
    <n v="4800000"/>
  </r>
  <r>
    <x v="222"/>
    <s v="INV00096"/>
    <x v="3"/>
    <x v="14"/>
    <x v="5"/>
    <x v="1"/>
    <n v="64"/>
    <n v="65000"/>
    <n v="4160000"/>
  </r>
  <r>
    <x v="145"/>
    <s v="INV00163"/>
    <x v="2"/>
    <x v="2"/>
    <x v="1"/>
    <x v="2"/>
    <n v="64"/>
    <n v="120000"/>
    <n v="7680000"/>
  </r>
  <r>
    <x v="223"/>
    <s v="INV00218"/>
    <x v="2"/>
    <x v="44"/>
    <x v="4"/>
    <x v="4"/>
    <n v="64"/>
    <n v="120000"/>
    <n v="7680000"/>
  </r>
  <r>
    <x v="45"/>
    <s v="INV00392"/>
    <x v="0"/>
    <x v="0"/>
    <x v="0"/>
    <x v="4"/>
    <n v="64"/>
    <n v="55000"/>
    <n v="3520000"/>
  </r>
  <r>
    <x v="56"/>
    <s v="INV00415"/>
    <x v="2"/>
    <x v="0"/>
    <x v="0"/>
    <x v="2"/>
    <n v="64"/>
    <n v="120000"/>
    <n v="7680000"/>
  </r>
  <r>
    <x v="224"/>
    <s v="INV00663"/>
    <x v="0"/>
    <x v="17"/>
    <x v="0"/>
    <x v="2"/>
    <n v="64"/>
    <n v="55000"/>
    <n v="3520000"/>
  </r>
  <r>
    <x v="225"/>
    <s v="INV00727"/>
    <x v="1"/>
    <x v="36"/>
    <x v="7"/>
    <x v="0"/>
    <n v="64"/>
    <n v="75000"/>
    <n v="4800000"/>
  </r>
  <r>
    <x v="15"/>
    <s v="INV00052"/>
    <x v="0"/>
    <x v="10"/>
    <x v="0"/>
    <x v="2"/>
    <n v="65"/>
    <n v="55000"/>
    <n v="3575000"/>
  </r>
  <r>
    <x v="226"/>
    <s v="INV00124"/>
    <x v="1"/>
    <x v="44"/>
    <x v="4"/>
    <x v="2"/>
    <n v="65"/>
    <n v="75000"/>
    <n v="4875000"/>
  </r>
  <r>
    <x v="227"/>
    <s v="INV00199"/>
    <x v="1"/>
    <x v="37"/>
    <x v="0"/>
    <x v="2"/>
    <n v="65"/>
    <n v="75000"/>
    <n v="4875000"/>
  </r>
  <r>
    <x v="111"/>
    <s v="INV00467"/>
    <x v="0"/>
    <x v="46"/>
    <x v="3"/>
    <x v="3"/>
    <n v="65"/>
    <n v="55000"/>
    <n v="3575000"/>
  </r>
  <r>
    <x v="71"/>
    <s v="INV00578"/>
    <x v="2"/>
    <x v="1"/>
    <x v="1"/>
    <x v="1"/>
    <n v="65"/>
    <n v="120000"/>
    <n v="7800000"/>
  </r>
  <r>
    <x v="189"/>
    <s v="INV01089"/>
    <x v="1"/>
    <x v="48"/>
    <x v="4"/>
    <x v="2"/>
    <n v="65"/>
    <n v="75000"/>
    <n v="4875000"/>
  </r>
  <r>
    <x v="35"/>
    <s v="INV01151"/>
    <x v="2"/>
    <x v="43"/>
    <x v="7"/>
    <x v="4"/>
    <n v="65"/>
    <n v="120000"/>
    <n v="7800000"/>
  </r>
  <r>
    <x v="228"/>
    <s v="INV01163"/>
    <x v="0"/>
    <x v="43"/>
    <x v="7"/>
    <x v="4"/>
    <n v="65"/>
    <n v="55000"/>
    <n v="3575000"/>
  </r>
  <r>
    <x v="58"/>
    <s v="INV00291"/>
    <x v="1"/>
    <x v="27"/>
    <x v="2"/>
    <x v="1"/>
    <n v="66"/>
    <n v="75000"/>
    <n v="4950000"/>
  </r>
  <r>
    <x v="162"/>
    <s v="INV01045"/>
    <x v="1"/>
    <x v="30"/>
    <x v="2"/>
    <x v="0"/>
    <n v="66"/>
    <n v="75000"/>
    <n v="4950000"/>
  </r>
  <r>
    <x v="229"/>
    <s v="INV01065"/>
    <x v="2"/>
    <x v="18"/>
    <x v="4"/>
    <x v="0"/>
    <n v="66"/>
    <n v="120000"/>
    <n v="7920000"/>
  </r>
  <r>
    <x v="3"/>
    <s v="INV00029"/>
    <x v="1"/>
    <x v="46"/>
    <x v="3"/>
    <x v="0"/>
    <n v="67"/>
    <n v="75000"/>
    <n v="5025000"/>
  </r>
  <r>
    <x v="230"/>
    <s v="INV00279"/>
    <x v="2"/>
    <x v="45"/>
    <x v="6"/>
    <x v="4"/>
    <n v="67"/>
    <n v="120000"/>
    <n v="8040000"/>
  </r>
  <r>
    <x v="231"/>
    <s v="INV00483"/>
    <x v="2"/>
    <x v="31"/>
    <x v="2"/>
    <x v="1"/>
    <n v="67"/>
    <n v="120000"/>
    <n v="8040000"/>
  </r>
  <r>
    <x v="100"/>
    <s v="INV00539"/>
    <x v="2"/>
    <x v="41"/>
    <x v="1"/>
    <x v="0"/>
    <n v="67"/>
    <n v="120000"/>
    <n v="8040000"/>
  </r>
  <r>
    <x v="98"/>
    <s v="INV00563"/>
    <x v="3"/>
    <x v="17"/>
    <x v="0"/>
    <x v="3"/>
    <n v="67"/>
    <n v="65000"/>
    <n v="4355000"/>
  </r>
  <r>
    <x v="232"/>
    <s v="INV00581"/>
    <x v="0"/>
    <x v="3"/>
    <x v="2"/>
    <x v="3"/>
    <n v="67"/>
    <n v="55000"/>
    <n v="3685000"/>
  </r>
  <r>
    <x v="222"/>
    <s v="INV01110"/>
    <x v="0"/>
    <x v="12"/>
    <x v="2"/>
    <x v="0"/>
    <n v="67"/>
    <n v="55000"/>
    <n v="3685000"/>
  </r>
  <r>
    <x v="110"/>
    <s v="INV00120"/>
    <x v="3"/>
    <x v="45"/>
    <x v="6"/>
    <x v="1"/>
    <n v="68"/>
    <n v="65000"/>
    <n v="4420000"/>
  </r>
  <r>
    <x v="3"/>
    <s v="INV00125"/>
    <x v="2"/>
    <x v="26"/>
    <x v="0"/>
    <x v="2"/>
    <n v="68"/>
    <n v="120000"/>
    <n v="8160000"/>
  </r>
  <r>
    <x v="193"/>
    <s v="INV00236"/>
    <x v="1"/>
    <x v="32"/>
    <x v="4"/>
    <x v="2"/>
    <n v="68"/>
    <n v="75000"/>
    <n v="5100000"/>
  </r>
  <r>
    <x v="167"/>
    <s v="INV00259"/>
    <x v="3"/>
    <x v="10"/>
    <x v="0"/>
    <x v="0"/>
    <n v="68"/>
    <n v="65000"/>
    <n v="4420000"/>
  </r>
  <r>
    <x v="233"/>
    <s v="INV00389"/>
    <x v="2"/>
    <x v="23"/>
    <x v="1"/>
    <x v="4"/>
    <n v="68"/>
    <n v="120000"/>
    <n v="8160000"/>
  </r>
  <r>
    <x v="234"/>
    <s v="INV00431"/>
    <x v="1"/>
    <x v="38"/>
    <x v="4"/>
    <x v="2"/>
    <n v="68"/>
    <n v="75000"/>
    <n v="5100000"/>
  </r>
  <r>
    <x v="235"/>
    <s v="INV00738"/>
    <x v="3"/>
    <x v="4"/>
    <x v="3"/>
    <x v="2"/>
    <n v="68"/>
    <n v="65000"/>
    <n v="4420000"/>
  </r>
  <r>
    <x v="51"/>
    <s v="INV00909"/>
    <x v="2"/>
    <x v="44"/>
    <x v="4"/>
    <x v="1"/>
    <n v="68"/>
    <n v="120000"/>
    <n v="8160000"/>
  </r>
  <r>
    <x v="236"/>
    <s v="INV01076"/>
    <x v="2"/>
    <x v="23"/>
    <x v="1"/>
    <x v="3"/>
    <n v="68"/>
    <n v="120000"/>
    <n v="8160000"/>
  </r>
  <r>
    <x v="195"/>
    <s v="INV00046"/>
    <x v="3"/>
    <x v="10"/>
    <x v="0"/>
    <x v="1"/>
    <n v="69"/>
    <n v="65000"/>
    <n v="4485000"/>
  </r>
  <r>
    <x v="237"/>
    <s v="INV00118"/>
    <x v="2"/>
    <x v="0"/>
    <x v="0"/>
    <x v="3"/>
    <n v="69"/>
    <n v="120000"/>
    <n v="8280000"/>
  </r>
  <r>
    <x v="68"/>
    <s v="INV00142"/>
    <x v="1"/>
    <x v="45"/>
    <x v="6"/>
    <x v="3"/>
    <n v="69"/>
    <n v="75000"/>
    <n v="5175000"/>
  </r>
  <r>
    <x v="238"/>
    <s v="INV00502"/>
    <x v="1"/>
    <x v="37"/>
    <x v="0"/>
    <x v="4"/>
    <n v="69"/>
    <n v="75000"/>
    <n v="5175000"/>
  </r>
  <r>
    <x v="229"/>
    <s v="INV00906"/>
    <x v="1"/>
    <x v="43"/>
    <x v="7"/>
    <x v="4"/>
    <n v="69"/>
    <n v="75000"/>
    <n v="5175000"/>
  </r>
  <r>
    <x v="159"/>
    <s v="INV01200"/>
    <x v="2"/>
    <x v="38"/>
    <x v="4"/>
    <x v="2"/>
    <n v="69"/>
    <n v="120000"/>
    <n v="8280000"/>
  </r>
  <r>
    <x v="239"/>
    <s v="INV00044"/>
    <x v="2"/>
    <x v="29"/>
    <x v="3"/>
    <x v="1"/>
    <n v="70"/>
    <n v="120000"/>
    <n v="8400000"/>
  </r>
  <r>
    <x v="56"/>
    <s v="INV00049"/>
    <x v="3"/>
    <x v="5"/>
    <x v="4"/>
    <x v="2"/>
    <n v="70"/>
    <n v="65000"/>
    <n v="4550000"/>
  </r>
  <r>
    <x v="206"/>
    <s v="INV00141"/>
    <x v="1"/>
    <x v="6"/>
    <x v="5"/>
    <x v="2"/>
    <n v="70"/>
    <n v="75000"/>
    <n v="5250000"/>
  </r>
  <r>
    <x v="240"/>
    <s v="INV00649"/>
    <x v="2"/>
    <x v="34"/>
    <x v="0"/>
    <x v="1"/>
    <n v="70"/>
    <n v="120000"/>
    <n v="8400000"/>
  </r>
  <r>
    <x v="196"/>
    <s v="INV00021"/>
    <x v="0"/>
    <x v="17"/>
    <x v="0"/>
    <x v="4"/>
    <n v="71"/>
    <n v="55000"/>
    <n v="3905000"/>
  </r>
  <r>
    <x v="241"/>
    <s v="INV00028"/>
    <x v="2"/>
    <x v="7"/>
    <x v="6"/>
    <x v="0"/>
    <n v="71"/>
    <n v="120000"/>
    <n v="8520000"/>
  </r>
  <r>
    <x v="242"/>
    <s v="INV00063"/>
    <x v="2"/>
    <x v="47"/>
    <x v="3"/>
    <x v="2"/>
    <n v="71"/>
    <n v="120000"/>
    <n v="8520000"/>
  </r>
  <r>
    <x v="194"/>
    <s v="INV00172"/>
    <x v="2"/>
    <x v="26"/>
    <x v="0"/>
    <x v="3"/>
    <n v="71"/>
    <n v="120000"/>
    <n v="8520000"/>
  </r>
  <r>
    <x v="41"/>
    <s v="INV00253"/>
    <x v="1"/>
    <x v="37"/>
    <x v="0"/>
    <x v="1"/>
    <n v="71"/>
    <n v="75000"/>
    <n v="5325000"/>
  </r>
  <r>
    <x v="243"/>
    <s v="INV00553"/>
    <x v="2"/>
    <x v="1"/>
    <x v="1"/>
    <x v="0"/>
    <n v="71"/>
    <n v="120000"/>
    <n v="8520000"/>
  </r>
  <r>
    <x v="244"/>
    <s v="INV00641"/>
    <x v="1"/>
    <x v="30"/>
    <x v="2"/>
    <x v="2"/>
    <n v="71"/>
    <n v="75000"/>
    <n v="5325000"/>
  </r>
  <r>
    <x v="245"/>
    <s v="INV00661"/>
    <x v="0"/>
    <x v="42"/>
    <x v="0"/>
    <x v="4"/>
    <n v="71"/>
    <n v="55000"/>
    <n v="3905000"/>
  </r>
  <r>
    <x v="122"/>
    <s v="INV00790"/>
    <x v="0"/>
    <x v="30"/>
    <x v="2"/>
    <x v="4"/>
    <n v="71"/>
    <n v="55000"/>
    <n v="3905000"/>
  </r>
  <r>
    <x v="245"/>
    <s v="INV00817"/>
    <x v="0"/>
    <x v="22"/>
    <x v="0"/>
    <x v="3"/>
    <n v="71"/>
    <n v="55000"/>
    <n v="3905000"/>
  </r>
  <r>
    <x v="92"/>
    <s v="INV00824"/>
    <x v="3"/>
    <x v="42"/>
    <x v="0"/>
    <x v="4"/>
    <n v="71"/>
    <n v="65000"/>
    <n v="4615000"/>
  </r>
  <r>
    <x v="246"/>
    <s v="INV01053"/>
    <x v="2"/>
    <x v="43"/>
    <x v="7"/>
    <x v="2"/>
    <n v="71"/>
    <n v="120000"/>
    <n v="8520000"/>
  </r>
  <r>
    <x v="247"/>
    <s v="INV00035"/>
    <x v="3"/>
    <x v="43"/>
    <x v="7"/>
    <x v="4"/>
    <n v="72"/>
    <n v="65000"/>
    <n v="4680000"/>
  </r>
  <r>
    <x v="198"/>
    <s v="INV00180"/>
    <x v="3"/>
    <x v="47"/>
    <x v="3"/>
    <x v="0"/>
    <n v="72"/>
    <n v="65000"/>
    <n v="4680000"/>
  </r>
  <r>
    <x v="4"/>
    <s v="INV00297"/>
    <x v="3"/>
    <x v="3"/>
    <x v="2"/>
    <x v="1"/>
    <n v="72"/>
    <n v="65000"/>
    <n v="4680000"/>
  </r>
  <r>
    <x v="52"/>
    <s v="INV00458"/>
    <x v="1"/>
    <x v="47"/>
    <x v="3"/>
    <x v="1"/>
    <n v="72"/>
    <n v="75000"/>
    <n v="5400000"/>
  </r>
  <r>
    <x v="119"/>
    <s v="INV00561"/>
    <x v="1"/>
    <x v="48"/>
    <x v="4"/>
    <x v="0"/>
    <n v="72"/>
    <n v="75000"/>
    <n v="5400000"/>
  </r>
  <r>
    <x v="248"/>
    <s v="INV01091"/>
    <x v="0"/>
    <x v="18"/>
    <x v="4"/>
    <x v="3"/>
    <n v="72"/>
    <n v="55000"/>
    <n v="3960000"/>
  </r>
  <r>
    <x v="249"/>
    <s v="INV01184"/>
    <x v="1"/>
    <x v="2"/>
    <x v="1"/>
    <x v="2"/>
    <n v="72"/>
    <n v="75000"/>
    <n v="5400000"/>
  </r>
  <r>
    <x v="165"/>
    <s v="INV00438"/>
    <x v="0"/>
    <x v="4"/>
    <x v="3"/>
    <x v="4"/>
    <n v="73"/>
    <n v="55000"/>
    <n v="4015000"/>
  </r>
  <r>
    <x v="250"/>
    <s v="INV00679"/>
    <x v="2"/>
    <x v="28"/>
    <x v="3"/>
    <x v="2"/>
    <n v="73"/>
    <n v="120000"/>
    <n v="8760000"/>
  </r>
  <r>
    <x v="174"/>
    <s v="INV01002"/>
    <x v="3"/>
    <x v="36"/>
    <x v="7"/>
    <x v="3"/>
    <n v="73"/>
    <n v="65000"/>
    <n v="4745000"/>
  </r>
  <r>
    <x v="249"/>
    <s v="INV00225"/>
    <x v="0"/>
    <x v="31"/>
    <x v="2"/>
    <x v="3"/>
    <n v="74"/>
    <n v="55000"/>
    <n v="4070000"/>
  </r>
  <r>
    <x v="207"/>
    <s v="INV00399"/>
    <x v="1"/>
    <x v="8"/>
    <x v="2"/>
    <x v="2"/>
    <n v="74"/>
    <n v="75000"/>
    <n v="5550000"/>
  </r>
  <r>
    <x v="158"/>
    <s v="INV00868"/>
    <x v="1"/>
    <x v="31"/>
    <x v="2"/>
    <x v="0"/>
    <n v="74"/>
    <n v="75000"/>
    <n v="5550000"/>
  </r>
  <r>
    <x v="251"/>
    <s v="INV00899"/>
    <x v="1"/>
    <x v="22"/>
    <x v="0"/>
    <x v="2"/>
    <n v="74"/>
    <n v="75000"/>
    <n v="5550000"/>
  </r>
  <r>
    <x v="1"/>
    <s v="INV01166"/>
    <x v="1"/>
    <x v="34"/>
    <x v="0"/>
    <x v="1"/>
    <n v="74"/>
    <n v="75000"/>
    <n v="5550000"/>
  </r>
  <r>
    <x v="18"/>
    <s v="INV00122"/>
    <x v="0"/>
    <x v="33"/>
    <x v="7"/>
    <x v="4"/>
    <n v="75"/>
    <n v="55000"/>
    <n v="4125000"/>
  </r>
  <r>
    <x v="182"/>
    <s v="INV00145"/>
    <x v="3"/>
    <x v="22"/>
    <x v="0"/>
    <x v="0"/>
    <n v="75"/>
    <n v="65000"/>
    <n v="4875000"/>
  </r>
  <r>
    <x v="246"/>
    <s v="INV00152"/>
    <x v="3"/>
    <x v="26"/>
    <x v="0"/>
    <x v="4"/>
    <n v="75"/>
    <n v="65000"/>
    <n v="4875000"/>
  </r>
  <r>
    <x v="169"/>
    <s v="INV00189"/>
    <x v="1"/>
    <x v="3"/>
    <x v="2"/>
    <x v="0"/>
    <n v="75"/>
    <n v="75000"/>
    <n v="5625000"/>
  </r>
  <r>
    <x v="252"/>
    <s v="INV00426"/>
    <x v="0"/>
    <x v="15"/>
    <x v="3"/>
    <x v="0"/>
    <n v="75"/>
    <n v="55000"/>
    <n v="4125000"/>
  </r>
  <r>
    <x v="105"/>
    <s v="INV00683"/>
    <x v="1"/>
    <x v="25"/>
    <x v="5"/>
    <x v="4"/>
    <n v="75"/>
    <n v="75000"/>
    <n v="5625000"/>
  </r>
  <r>
    <x v="253"/>
    <s v="INV01019"/>
    <x v="1"/>
    <x v="8"/>
    <x v="2"/>
    <x v="2"/>
    <n v="75"/>
    <n v="75000"/>
    <n v="5625000"/>
  </r>
  <r>
    <x v="187"/>
    <s v="INV01054"/>
    <x v="3"/>
    <x v="15"/>
    <x v="3"/>
    <x v="3"/>
    <n v="75"/>
    <n v="65000"/>
    <n v="4875000"/>
  </r>
  <r>
    <x v="254"/>
    <s v="INV01132"/>
    <x v="1"/>
    <x v="22"/>
    <x v="0"/>
    <x v="0"/>
    <n v="75"/>
    <n v="75000"/>
    <n v="5625000"/>
  </r>
  <r>
    <x v="253"/>
    <s v="INV00001"/>
    <x v="1"/>
    <x v="20"/>
    <x v="5"/>
    <x v="4"/>
    <n v="76"/>
    <n v="75000"/>
    <n v="5700000"/>
  </r>
  <r>
    <x v="5"/>
    <s v="INV00128"/>
    <x v="2"/>
    <x v="46"/>
    <x v="3"/>
    <x v="3"/>
    <n v="76"/>
    <n v="120000"/>
    <n v="9120000"/>
  </r>
  <r>
    <x v="155"/>
    <s v="INV00326"/>
    <x v="0"/>
    <x v="23"/>
    <x v="1"/>
    <x v="0"/>
    <n v="76"/>
    <n v="55000"/>
    <n v="4180000"/>
  </r>
  <r>
    <x v="163"/>
    <s v="INV00721"/>
    <x v="3"/>
    <x v="31"/>
    <x v="2"/>
    <x v="2"/>
    <n v="76"/>
    <n v="65000"/>
    <n v="4940000"/>
  </r>
  <r>
    <x v="185"/>
    <s v="INV00769"/>
    <x v="0"/>
    <x v="7"/>
    <x v="6"/>
    <x v="0"/>
    <n v="76"/>
    <n v="55000"/>
    <n v="4180000"/>
  </r>
  <r>
    <x v="51"/>
    <s v="INV00890"/>
    <x v="2"/>
    <x v="22"/>
    <x v="0"/>
    <x v="4"/>
    <n v="76"/>
    <n v="120000"/>
    <n v="9120000"/>
  </r>
  <r>
    <x v="170"/>
    <s v="INV00904"/>
    <x v="3"/>
    <x v="23"/>
    <x v="1"/>
    <x v="3"/>
    <n v="76"/>
    <n v="65000"/>
    <n v="4940000"/>
  </r>
  <r>
    <x v="225"/>
    <s v="INV01025"/>
    <x v="0"/>
    <x v="47"/>
    <x v="3"/>
    <x v="0"/>
    <n v="76"/>
    <n v="55000"/>
    <n v="4180000"/>
  </r>
  <r>
    <x v="44"/>
    <s v="INV00005"/>
    <x v="1"/>
    <x v="23"/>
    <x v="1"/>
    <x v="1"/>
    <n v="77"/>
    <n v="75000"/>
    <n v="5775000"/>
  </r>
  <r>
    <x v="120"/>
    <s v="INV00311"/>
    <x v="2"/>
    <x v="12"/>
    <x v="2"/>
    <x v="3"/>
    <n v="77"/>
    <n v="120000"/>
    <n v="9240000"/>
  </r>
  <r>
    <x v="215"/>
    <s v="INV00916"/>
    <x v="3"/>
    <x v="19"/>
    <x v="6"/>
    <x v="1"/>
    <n v="77"/>
    <n v="65000"/>
    <n v="5005000"/>
  </r>
  <r>
    <x v="37"/>
    <s v="INV01120"/>
    <x v="0"/>
    <x v="14"/>
    <x v="5"/>
    <x v="1"/>
    <n v="77"/>
    <n v="55000"/>
    <n v="4235000"/>
  </r>
  <r>
    <x v="81"/>
    <s v="INV01124"/>
    <x v="2"/>
    <x v="37"/>
    <x v="0"/>
    <x v="0"/>
    <n v="77"/>
    <n v="120000"/>
    <n v="9240000"/>
  </r>
  <r>
    <x v="177"/>
    <s v="INV01158"/>
    <x v="2"/>
    <x v="39"/>
    <x v="4"/>
    <x v="0"/>
    <n v="77"/>
    <n v="120000"/>
    <n v="9240000"/>
  </r>
  <r>
    <x v="255"/>
    <s v="INV00009"/>
    <x v="1"/>
    <x v="49"/>
    <x v="7"/>
    <x v="3"/>
    <n v="78"/>
    <n v="75000"/>
    <n v="5850000"/>
  </r>
  <r>
    <x v="145"/>
    <s v="INV00084"/>
    <x v="0"/>
    <x v="33"/>
    <x v="7"/>
    <x v="3"/>
    <n v="78"/>
    <n v="55000"/>
    <n v="4290000"/>
  </r>
  <r>
    <x v="256"/>
    <s v="INV00112"/>
    <x v="0"/>
    <x v="26"/>
    <x v="0"/>
    <x v="0"/>
    <n v="78"/>
    <n v="55000"/>
    <n v="4290000"/>
  </r>
  <r>
    <x v="257"/>
    <s v="INV00205"/>
    <x v="2"/>
    <x v="43"/>
    <x v="7"/>
    <x v="4"/>
    <n v="78"/>
    <n v="120000"/>
    <n v="9360000"/>
  </r>
  <r>
    <x v="140"/>
    <s v="INV00394"/>
    <x v="3"/>
    <x v="44"/>
    <x v="4"/>
    <x v="1"/>
    <n v="78"/>
    <n v="65000"/>
    <n v="5070000"/>
  </r>
  <r>
    <x v="258"/>
    <s v="INV00523"/>
    <x v="2"/>
    <x v="44"/>
    <x v="4"/>
    <x v="4"/>
    <n v="78"/>
    <n v="120000"/>
    <n v="9360000"/>
  </r>
  <r>
    <x v="187"/>
    <s v="INV00712"/>
    <x v="3"/>
    <x v="9"/>
    <x v="6"/>
    <x v="2"/>
    <n v="78"/>
    <n v="65000"/>
    <n v="5070000"/>
  </r>
  <r>
    <x v="51"/>
    <s v="INV01004"/>
    <x v="0"/>
    <x v="29"/>
    <x v="3"/>
    <x v="3"/>
    <n v="78"/>
    <n v="55000"/>
    <n v="4290000"/>
  </r>
  <r>
    <x v="173"/>
    <s v="INV01116"/>
    <x v="0"/>
    <x v="12"/>
    <x v="2"/>
    <x v="0"/>
    <n v="78"/>
    <n v="55000"/>
    <n v="4290000"/>
  </r>
  <r>
    <x v="85"/>
    <s v="INV01155"/>
    <x v="0"/>
    <x v="25"/>
    <x v="5"/>
    <x v="0"/>
    <n v="78"/>
    <n v="55000"/>
    <n v="4290000"/>
  </r>
  <r>
    <x v="163"/>
    <s v="INV00148"/>
    <x v="2"/>
    <x v="18"/>
    <x v="4"/>
    <x v="4"/>
    <n v="79"/>
    <n v="120000"/>
    <n v="9480000"/>
  </r>
  <r>
    <x v="145"/>
    <s v="INV00166"/>
    <x v="3"/>
    <x v="19"/>
    <x v="6"/>
    <x v="0"/>
    <n v="79"/>
    <n v="65000"/>
    <n v="5135000"/>
  </r>
  <r>
    <x v="78"/>
    <s v="INV00230"/>
    <x v="0"/>
    <x v="39"/>
    <x v="4"/>
    <x v="0"/>
    <n v="79"/>
    <n v="55000"/>
    <n v="4345000"/>
  </r>
  <r>
    <x v="259"/>
    <s v="INV00417"/>
    <x v="3"/>
    <x v="27"/>
    <x v="2"/>
    <x v="0"/>
    <n v="79"/>
    <n v="65000"/>
    <n v="5135000"/>
  </r>
  <r>
    <x v="253"/>
    <s v="INV00731"/>
    <x v="2"/>
    <x v="23"/>
    <x v="1"/>
    <x v="1"/>
    <n v="79"/>
    <n v="120000"/>
    <n v="9480000"/>
  </r>
  <r>
    <x v="98"/>
    <s v="INV01005"/>
    <x v="3"/>
    <x v="4"/>
    <x v="3"/>
    <x v="0"/>
    <n v="79"/>
    <n v="65000"/>
    <n v="5135000"/>
  </r>
  <r>
    <x v="177"/>
    <s v="INV01015"/>
    <x v="3"/>
    <x v="4"/>
    <x v="3"/>
    <x v="0"/>
    <n v="79"/>
    <n v="65000"/>
    <n v="5135000"/>
  </r>
  <r>
    <x v="30"/>
    <s v="INV00348"/>
    <x v="3"/>
    <x v="35"/>
    <x v="3"/>
    <x v="3"/>
    <n v="80"/>
    <n v="65000"/>
    <n v="5200000"/>
  </r>
  <r>
    <x v="148"/>
    <s v="INV00388"/>
    <x v="0"/>
    <x v="3"/>
    <x v="2"/>
    <x v="1"/>
    <n v="80"/>
    <n v="55000"/>
    <n v="4400000"/>
  </r>
  <r>
    <x v="46"/>
    <s v="INV00773"/>
    <x v="2"/>
    <x v="34"/>
    <x v="0"/>
    <x v="3"/>
    <n v="80"/>
    <n v="120000"/>
    <n v="9600000"/>
  </r>
  <r>
    <x v="260"/>
    <s v="INV01104"/>
    <x v="1"/>
    <x v="1"/>
    <x v="1"/>
    <x v="0"/>
    <n v="80"/>
    <n v="75000"/>
    <n v="6000000"/>
  </r>
  <r>
    <x v="122"/>
    <s v="INV00554"/>
    <x v="0"/>
    <x v="29"/>
    <x v="3"/>
    <x v="3"/>
    <n v="81"/>
    <n v="55000"/>
    <n v="4455000"/>
  </r>
  <r>
    <x v="261"/>
    <s v="INV00809"/>
    <x v="1"/>
    <x v="33"/>
    <x v="7"/>
    <x v="2"/>
    <n v="81"/>
    <n v="75000"/>
    <n v="6075000"/>
  </r>
  <r>
    <x v="220"/>
    <s v="INV00856"/>
    <x v="0"/>
    <x v="34"/>
    <x v="0"/>
    <x v="2"/>
    <n v="82"/>
    <n v="55000"/>
    <n v="4510000"/>
  </r>
  <r>
    <x v="116"/>
    <s v="INV00889"/>
    <x v="3"/>
    <x v="6"/>
    <x v="5"/>
    <x v="3"/>
    <n v="82"/>
    <n v="65000"/>
    <n v="5330000"/>
  </r>
  <r>
    <x v="26"/>
    <s v="INV00041"/>
    <x v="2"/>
    <x v="8"/>
    <x v="2"/>
    <x v="1"/>
    <n v="83"/>
    <n v="120000"/>
    <n v="9960000"/>
  </r>
  <r>
    <x v="4"/>
    <s v="INV00272"/>
    <x v="3"/>
    <x v="48"/>
    <x v="4"/>
    <x v="0"/>
    <n v="83"/>
    <n v="65000"/>
    <n v="5395000"/>
  </r>
  <r>
    <x v="20"/>
    <s v="INV00378"/>
    <x v="1"/>
    <x v="8"/>
    <x v="2"/>
    <x v="0"/>
    <n v="83"/>
    <n v="75000"/>
    <n v="6225000"/>
  </r>
  <r>
    <x v="1"/>
    <s v="INV00560"/>
    <x v="1"/>
    <x v="1"/>
    <x v="1"/>
    <x v="1"/>
    <n v="83"/>
    <n v="75000"/>
    <n v="6225000"/>
  </r>
  <r>
    <x v="108"/>
    <s v="INV00586"/>
    <x v="3"/>
    <x v="22"/>
    <x v="0"/>
    <x v="0"/>
    <n v="83"/>
    <n v="65000"/>
    <n v="5395000"/>
  </r>
  <r>
    <x v="78"/>
    <s v="INV00724"/>
    <x v="0"/>
    <x v="35"/>
    <x v="3"/>
    <x v="1"/>
    <n v="83"/>
    <n v="55000"/>
    <n v="4565000"/>
  </r>
  <r>
    <x v="106"/>
    <s v="INV00939"/>
    <x v="0"/>
    <x v="10"/>
    <x v="0"/>
    <x v="1"/>
    <n v="83"/>
    <n v="55000"/>
    <n v="4565000"/>
  </r>
  <r>
    <x v="67"/>
    <s v="INV00983"/>
    <x v="0"/>
    <x v="7"/>
    <x v="6"/>
    <x v="1"/>
    <n v="83"/>
    <n v="55000"/>
    <n v="4565000"/>
  </r>
  <r>
    <x v="125"/>
    <s v="INV01035"/>
    <x v="1"/>
    <x v="3"/>
    <x v="2"/>
    <x v="1"/>
    <n v="83"/>
    <n v="75000"/>
    <n v="6225000"/>
  </r>
  <r>
    <x v="262"/>
    <s v="INV00059"/>
    <x v="0"/>
    <x v="30"/>
    <x v="2"/>
    <x v="1"/>
    <n v="84"/>
    <n v="55000"/>
    <n v="4620000"/>
  </r>
  <r>
    <x v="237"/>
    <s v="INV00154"/>
    <x v="0"/>
    <x v="23"/>
    <x v="1"/>
    <x v="3"/>
    <n v="84"/>
    <n v="55000"/>
    <n v="4620000"/>
  </r>
  <r>
    <x v="22"/>
    <s v="INV00792"/>
    <x v="1"/>
    <x v="31"/>
    <x v="2"/>
    <x v="4"/>
    <n v="84"/>
    <n v="75000"/>
    <n v="6300000"/>
  </r>
  <r>
    <x v="263"/>
    <s v="INV00984"/>
    <x v="2"/>
    <x v="7"/>
    <x v="6"/>
    <x v="3"/>
    <n v="84"/>
    <n v="120000"/>
    <n v="10080000"/>
  </r>
  <r>
    <x v="164"/>
    <s v="INV01180"/>
    <x v="2"/>
    <x v="37"/>
    <x v="0"/>
    <x v="0"/>
    <n v="84"/>
    <n v="120000"/>
    <n v="10080000"/>
  </r>
  <r>
    <x v="13"/>
    <s v="INV00031"/>
    <x v="1"/>
    <x v="38"/>
    <x v="4"/>
    <x v="1"/>
    <n v="85"/>
    <n v="75000"/>
    <n v="6375000"/>
  </r>
  <r>
    <x v="127"/>
    <s v="INV00405"/>
    <x v="0"/>
    <x v="27"/>
    <x v="2"/>
    <x v="2"/>
    <n v="85"/>
    <n v="55000"/>
    <n v="4675000"/>
  </r>
  <r>
    <x v="217"/>
    <s v="INV00484"/>
    <x v="1"/>
    <x v="17"/>
    <x v="0"/>
    <x v="3"/>
    <n v="85"/>
    <n v="75000"/>
    <n v="6375000"/>
  </r>
  <r>
    <x v="169"/>
    <s v="INV00707"/>
    <x v="2"/>
    <x v="28"/>
    <x v="3"/>
    <x v="0"/>
    <n v="85"/>
    <n v="120000"/>
    <n v="10200000"/>
  </r>
  <r>
    <x v="43"/>
    <s v="INV00743"/>
    <x v="0"/>
    <x v="25"/>
    <x v="5"/>
    <x v="2"/>
    <n v="85"/>
    <n v="55000"/>
    <n v="4675000"/>
  </r>
  <r>
    <x v="44"/>
    <s v="INV00901"/>
    <x v="0"/>
    <x v="44"/>
    <x v="4"/>
    <x v="3"/>
    <n v="85"/>
    <n v="55000"/>
    <n v="4675000"/>
  </r>
  <r>
    <x v="229"/>
    <s v="INV01069"/>
    <x v="0"/>
    <x v="43"/>
    <x v="7"/>
    <x v="3"/>
    <n v="85"/>
    <n v="55000"/>
    <n v="4675000"/>
  </r>
  <r>
    <x v="264"/>
    <s v="INV00179"/>
    <x v="2"/>
    <x v="3"/>
    <x v="2"/>
    <x v="1"/>
    <n v="86"/>
    <n v="120000"/>
    <n v="10320000"/>
  </r>
  <r>
    <x v="141"/>
    <s v="INV00381"/>
    <x v="2"/>
    <x v="31"/>
    <x v="2"/>
    <x v="4"/>
    <n v="86"/>
    <n v="120000"/>
    <n v="10320000"/>
  </r>
  <r>
    <x v="218"/>
    <s v="INV00478"/>
    <x v="2"/>
    <x v="5"/>
    <x v="4"/>
    <x v="0"/>
    <n v="86"/>
    <n v="120000"/>
    <n v="10320000"/>
  </r>
  <r>
    <x v="11"/>
    <s v="INV00550"/>
    <x v="3"/>
    <x v="39"/>
    <x v="4"/>
    <x v="1"/>
    <n v="86"/>
    <n v="65000"/>
    <n v="5590000"/>
  </r>
  <r>
    <x v="160"/>
    <s v="INV00690"/>
    <x v="0"/>
    <x v="14"/>
    <x v="5"/>
    <x v="4"/>
    <n v="86"/>
    <n v="55000"/>
    <n v="4730000"/>
  </r>
  <r>
    <x v="216"/>
    <s v="INV00691"/>
    <x v="2"/>
    <x v="11"/>
    <x v="1"/>
    <x v="4"/>
    <n v="86"/>
    <n v="120000"/>
    <n v="10320000"/>
  </r>
  <r>
    <x v="141"/>
    <s v="INV00024"/>
    <x v="2"/>
    <x v="28"/>
    <x v="3"/>
    <x v="3"/>
    <n v="87"/>
    <n v="120000"/>
    <n v="10440000"/>
  </r>
  <r>
    <x v="86"/>
    <s v="INV00221"/>
    <x v="2"/>
    <x v="16"/>
    <x v="3"/>
    <x v="0"/>
    <n v="87"/>
    <n v="120000"/>
    <n v="10440000"/>
  </r>
  <r>
    <x v="74"/>
    <s v="INV00248"/>
    <x v="2"/>
    <x v="29"/>
    <x v="3"/>
    <x v="3"/>
    <n v="87"/>
    <n v="120000"/>
    <n v="10440000"/>
  </r>
  <r>
    <x v="252"/>
    <s v="INV00452"/>
    <x v="3"/>
    <x v="4"/>
    <x v="3"/>
    <x v="3"/>
    <n v="87"/>
    <n v="65000"/>
    <n v="5655000"/>
  </r>
  <r>
    <x v="9"/>
    <s v="INV00497"/>
    <x v="0"/>
    <x v="43"/>
    <x v="7"/>
    <x v="4"/>
    <n v="87"/>
    <n v="55000"/>
    <n v="4785000"/>
  </r>
  <r>
    <x v="265"/>
    <s v="INV00508"/>
    <x v="3"/>
    <x v="39"/>
    <x v="4"/>
    <x v="3"/>
    <n v="87"/>
    <n v="65000"/>
    <n v="5655000"/>
  </r>
  <r>
    <x v="51"/>
    <s v="INV00546"/>
    <x v="1"/>
    <x v="13"/>
    <x v="1"/>
    <x v="2"/>
    <n v="87"/>
    <n v="75000"/>
    <n v="6525000"/>
  </r>
  <r>
    <x v="142"/>
    <s v="INV00839"/>
    <x v="0"/>
    <x v="23"/>
    <x v="1"/>
    <x v="2"/>
    <n v="87"/>
    <n v="55000"/>
    <n v="4785000"/>
  </r>
  <r>
    <x v="28"/>
    <s v="INV01097"/>
    <x v="1"/>
    <x v="20"/>
    <x v="5"/>
    <x v="1"/>
    <n v="87"/>
    <n v="75000"/>
    <n v="6525000"/>
  </r>
  <r>
    <x v="96"/>
    <s v="INV00055"/>
    <x v="2"/>
    <x v="24"/>
    <x v="6"/>
    <x v="4"/>
    <n v="88"/>
    <n v="120000"/>
    <n v="10560000"/>
  </r>
  <r>
    <x v="201"/>
    <s v="INV00760"/>
    <x v="0"/>
    <x v="49"/>
    <x v="7"/>
    <x v="0"/>
    <n v="88"/>
    <n v="55000"/>
    <n v="4840000"/>
  </r>
  <r>
    <x v="77"/>
    <s v="INV00771"/>
    <x v="3"/>
    <x v="9"/>
    <x v="6"/>
    <x v="1"/>
    <n v="88"/>
    <n v="65000"/>
    <n v="5720000"/>
  </r>
  <r>
    <x v="74"/>
    <s v="INV00954"/>
    <x v="3"/>
    <x v="21"/>
    <x v="4"/>
    <x v="3"/>
    <n v="88"/>
    <n v="65000"/>
    <n v="5720000"/>
  </r>
  <r>
    <x v="263"/>
    <s v="INV00972"/>
    <x v="0"/>
    <x v="3"/>
    <x v="2"/>
    <x v="0"/>
    <n v="88"/>
    <n v="55000"/>
    <n v="4840000"/>
  </r>
  <r>
    <x v="191"/>
    <s v="INV01093"/>
    <x v="2"/>
    <x v="34"/>
    <x v="0"/>
    <x v="3"/>
    <n v="88"/>
    <n v="120000"/>
    <n v="10560000"/>
  </r>
  <r>
    <x v="64"/>
    <s v="INV00234"/>
    <x v="1"/>
    <x v="22"/>
    <x v="0"/>
    <x v="3"/>
    <n v="89"/>
    <n v="75000"/>
    <n v="6675000"/>
  </r>
  <r>
    <x v="266"/>
    <s v="INV00396"/>
    <x v="2"/>
    <x v="32"/>
    <x v="4"/>
    <x v="0"/>
    <n v="89"/>
    <n v="120000"/>
    <n v="10680000"/>
  </r>
  <r>
    <x v="267"/>
    <s v="INV00437"/>
    <x v="2"/>
    <x v="17"/>
    <x v="0"/>
    <x v="1"/>
    <n v="89"/>
    <n v="120000"/>
    <n v="10680000"/>
  </r>
  <r>
    <x v="207"/>
    <s v="INV00549"/>
    <x v="1"/>
    <x v="39"/>
    <x v="4"/>
    <x v="2"/>
    <n v="89"/>
    <n v="75000"/>
    <n v="6675000"/>
  </r>
  <r>
    <x v="181"/>
    <s v="INV00643"/>
    <x v="2"/>
    <x v="24"/>
    <x v="6"/>
    <x v="2"/>
    <n v="89"/>
    <n v="120000"/>
    <n v="10680000"/>
  </r>
  <r>
    <x v="4"/>
    <s v="INV00818"/>
    <x v="3"/>
    <x v="24"/>
    <x v="6"/>
    <x v="0"/>
    <n v="89"/>
    <n v="65000"/>
    <n v="5785000"/>
  </r>
  <r>
    <x v="97"/>
    <s v="INV00842"/>
    <x v="1"/>
    <x v="43"/>
    <x v="7"/>
    <x v="3"/>
    <n v="89"/>
    <n v="75000"/>
    <n v="6675000"/>
  </r>
  <r>
    <x v="268"/>
    <s v="INV00958"/>
    <x v="3"/>
    <x v="15"/>
    <x v="3"/>
    <x v="1"/>
    <n v="89"/>
    <n v="65000"/>
    <n v="5785000"/>
  </r>
  <r>
    <x v="269"/>
    <s v="INV00018"/>
    <x v="1"/>
    <x v="13"/>
    <x v="1"/>
    <x v="1"/>
    <n v="90"/>
    <n v="75000"/>
    <n v="6750000"/>
  </r>
  <r>
    <x v="110"/>
    <s v="INV00094"/>
    <x v="1"/>
    <x v="21"/>
    <x v="4"/>
    <x v="0"/>
    <n v="90"/>
    <n v="75000"/>
    <n v="6750000"/>
  </r>
  <r>
    <x v="270"/>
    <s v="INV00239"/>
    <x v="3"/>
    <x v="3"/>
    <x v="2"/>
    <x v="4"/>
    <n v="90"/>
    <n v="65000"/>
    <n v="5850000"/>
  </r>
  <r>
    <x v="225"/>
    <s v="INV00668"/>
    <x v="1"/>
    <x v="3"/>
    <x v="2"/>
    <x v="1"/>
    <n v="90"/>
    <n v="75000"/>
    <n v="6750000"/>
  </r>
  <r>
    <x v="54"/>
    <s v="INV00744"/>
    <x v="3"/>
    <x v="40"/>
    <x v="5"/>
    <x v="2"/>
    <n v="90"/>
    <n v="65000"/>
    <n v="5850000"/>
  </r>
  <r>
    <x v="138"/>
    <s v="INV00876"/>
    <x v="1"/>
    <x v="49"/>
    <x v="7"/>
    <x v="3"/>
    <n v="90"/>
    <n v="75000"/>
    <n v="6750000"/>
  </r>
  <r>
    <x v="20"/>
    <s v="INV00967"/>
    <x v="2"/>
    <x v="2"/>
    <x v="1"/>
    <x v="0"/>
    <n v="90"/>
    <n v="120000"/>
    <n v="10800000"/>
  </r>
  <r>
    <x v="140"/>
    <s v="INV01084"/>
    <x v="2"/>
    <x v="31"/>
    <x v="2"/>
    <x v="2"/>
    <n v="90"/>
    <n v="120000"/>
    <n v="10800000"/>
  </r>
  <r>
    <x v="271"/>
    <s v="INV00019"/>
    <x v="3"/>
    <x v="21"/>
    <x v="4"/>
    <x v="2"/>
    <n v="91"/>
    <n v="65000"/>
    <n v="5915000"/>
  </r>
  <r>
    <x v="206"/>
    <s v="INV00077"/>
    <x v="3"/>
    <x v="5"/>
    <x v="4"/>
    <x v="1"/>
    <n v="91"/>
    <n v="65000"/>
    <n v="5915000"/>
  </r>
  <r>
    <x v="57"/>
    <s v="INV00535"/>
    <x v="0"/>
    <x v="48"/>
    <x v="4"/>
    <x v="2"/>
    <n v="91"/>
    <n v="55000"/>
    <n v="5005000"/>
  </r>
  <r>
    <x v="140"/>
    <s v="INV01048"/>
    <x v="0"/>
    <x v="2"/>
    <x v="1"/>
    <x v="4"/>
    <n v="91"/>
    <n v="55000"/>
    <n v="5005000"/>
  </r>
  <r>
    <x v="57"/>
    <s v="INV01121"/>
    <x v="2"/>
    <x v="42"/>
    <x v="0"/>
    <x v="4"/>
    <n v="91"/>
    <n v="120000"/>
    <n v="10920000"/>
  </r>
  <r>
    <x v="272"/>
    <s v="INV01186"/>
    <x v="1"/>
    <x v="45"/>
    <x v="6"/>
    <x v="0"/>
    <n v="91"/>
    <n v="75000"/>
    <n v="6825000"/>
  </r>
  <r>
    <x v="94"/>
    <s v="INV00014"/>
    <x v="2"/>
    <x v="17"/>
    <x v="0"/>
    <x v="3"/>
    <n v="92"/>
    <n v="120000"/>
    <n v="11040000"/>
  </r>
  <r>
    <x v="273"/>
    <s v="INV00412"/>
    <x v="2"/>
    <x v="7"/>
    <x v="6"/>
    <x v="1"/>
    <n v="92"/>
    <n v="120000"/>
    <n v="11040000"/>
  </r>
  <r>
    <x v="44"/>
    <s v="INV00423"/>
    <x v="1"/>
    <x v="22"/>
    <x v="0"/>
    <x v="3"/>
    <n v="92"/>
    <n v="75000"/>
    <n v="6900000"/>
  </r>
  <r>
    <x v="47"/>
    <s v="INV00471"/>
    <x v="1"/>
    <x v="26"/>
    <x v="0"/>
    <x v="2"/>
    <n v="92"/>
    <n v="75000"/>
    <n v="6900000"/>
  </r>
  <r>
    <x v="274"/>
    <s v="INV00711"/>
    <x v="1"/>
    <x v="1"/>
    <x v="1"/>
    <x v="2"/>
    <n v="92"/>
    <n v="75000"/>
    <n v="6900000"/>
  </r>
  <r>
    <x v="275"/>
    <s v="INV00761"/>
    <x v="1"/>
    <x v="24"/>
    <x v="6"/>
    <x v="1"/>
    <n v="92"/>
    <n v="75000"/>
    <n v="6900000"/>
  </r>
  <r>
    <x v="172"/>
    <s v="INV00801"/>
    <x v="0"/>
    <x v="22"/>
    <x v="0"/>
    <x v="4"/>
    <n v="92"/>
    <n v="55000"/>
    <n v="5060000"/>
  </r>
  <r>
    <x v="223"/>
    <s v="INV01142"/>
    <x v="2"/>
    <x v="20"/>
    <x v="5"/>
    <x v="1"/>
    <n v="92"/>
    <n v="120000"/>
    <n v="11040000"/>
  </r>
  <r>
    <x v="215"/>
    <s v="INV01153"/>
    <x v="0"/>
    <x v="6"/>
    <x v="5"/>
    <x v="2"/>
    <n v="92"/>
    <n v="55000"/>
    <n v="5060000"/>
  </r>
  <r>
    <x v="159"/>
    <s v="INV00076"/>
    <x v="3"/>
    <x v="43"/>
    <x v="7"/>
    <x v="4"/>
    <n v="93"/>
    <n v="65000"/>
    <n v="6045000"/>
  </r>
  <r>
    <x v="13"/>
    <s v="INV00294"/>
    <x v="3"/>
    <x v="43"/>
    <x v="7"/>
    <x v="1"/>
    <n v="93"/>
    <n v="65000"/>
    <n v="6045000"/>
  </r>
  <r>
    <x v="275"/>
    <s v="INV00339"/>
    <x v="3"/>
    <x v="17"/>
    <x v="0"/>
    <x v="1"/>
    <n v="93"/>
    <n v="65000"/>
    <n v="6045000"/>
  </r>
  <r>
    <x v="276"/>
    <s v="INV00512"/>
    <x v="0"/>
    <x v="11"/>
    <x v="1"/>
    <x v="3"/>
    <n v="93"/>
    <n v="55000"/>
    <n v="5115000"/>
  </r>
  <r>
    <x v="13"/>
    <s v="INV00638"/>
    <x v="0"/>
    <x v="25"/>
    <x v="5"/>
    <x v="4"/>
    <n v="93"/>
    <n v="55000"/>
    <n v="5115000"/>
  </r>
  <r>
    <x v="20"/>
    <s v="INV01058"/>
    <x v="3"/>
    <x v="35"/>
    <x v="3"/>
    <x v="0"/>
    <n v="93"/>
    <n v="65000"/>
    <n v="6045000"/>
  </r>
  <r>
    <x v="117"/>
    <s v="INV01107"/>
    <x v="3"/>
    <x v="24"/>
    <x v="6"/>
    <x v="0"/>
    <n v="93"/>
    <n v="65000"/>
    <n v="6045000"/>
  </r>
  <r>
    <x v="276"/>
    <s v="INV00367"/>
    <x v="3"/>
    <x v="35"/>
    <x v="3"/>
    <x v="0"/>
    <n v="94"/>
    <n v="65000"/>
    <n v="6110000"/>
  </r>
  <r>
    <x v="116"/>
    <s v="INV00582"/>
    <x v="0"/>
    <x v="6"/>
    <x v="5"/>
    <x v="3"/>
    <n v="94"/>
    <n v="55000"/>
    <n v="5170000"/>
  </r>
  <r>
    <x v="266"/>
    <s v="INV00955"/>
    <x v="0"/>
    <x v="32"/>
    <x v="4"/>
    <x v="0"/>
    <n v="94"/>
    <n v="55000"/>
    <n v="5170000"/>
  </r>
  <r>
    <x v="240"/>
    <s v="INV00988"/>
    <x v="0"/>
    <x v="42"/>
    <x v="0"/>
    <x v="0"/>
    <n v="94"/>
    <n v="55000"/>
    <n v="5170000"/>
  </r>
  <r>
    <x v="242"/>
    <s v="INV01197"/>
    <x v="1"/>
    <x v="17"/>
    <x v="0"/>
    <x v="4"/>
    <n v="94"/>
    <n v="75000"/>
    <n v="7050000"/>
  </r>
  <r>
    <x v="277"/>
    <s v="INV00468"/>
    <x v="2"/>
    <x v="10"/>
    <x v="0"/>
    <x v="4"/>
    <n v="95"/>
    <n v="120000"/>
    <n v="11400000"/>
  </r>
  <r>
    <x v="257"/>
    <s v="INV00510"/>
    <x v="1"/>
    <x v="26"/>
    <x v="0"/>
    <x v="0"/>
    <n v="95"/>
    <n v="75000"/>
    <n v="7125000"/>
  </r>
  <r>
    <x v="278"/>
    <s v="INV00515"/>
    <x v="0"/>
    <x v="23"/>
    <x v="1"/>
    <x v="4"/>
    <n v="95"/>
    <n v="55000"/>
    <n v="5225000"/>
  </r>
  <r>
    <x v="279"/>
    <s v="INV00702"/>
    <x v="0"/>
    <x v="23"/>
    <x v="1"/>
    <x v="0"/>
    <n v="95"/>
    <n v="55000"/>
    <n v="5225000"/>
  </r>
  <r>
    <x v="67"/>
    <s v="INV00742"/>
    <x v="1"/>
    <x v="45"/>
    <x v="6"/>
    <x v="2"/>
    <n v="95"/>
    <n v="75000"/>
    <n v="7125000"/>
  </r>
  <r>
    <x v="77"/>
    <s v="INV00836"/>
    <x v="3"/>
    <x v="23"/>
    <x v="1"/>
    <x v="0"/>
    <n v="95"/>
    <n v="65000"/>
    <n v="6175000"/>
  </r>
  <r>
    <x v="280"/>
    <s v="INV00919"/>
    <x v="2"/>
    <x v="39"/>
    <x v="4"/>
    <x v="2"/>
    <n v="95"/>
    <n v="120000"/>
    <n v="11400000"/>
  </r>
  <r>
    <x v="171"/>
    <s v="INV01085"/>
    <x v="3"/>
    <x v="31"/>
    <x v="2"/>
    <x v="4"/>
    <n v="95"/>
    <n v="65000"/>
    <n v="6175000"/>
  </r>
  <r>
    <x v="87"/>
    <s v="INV00104"/>
    <x v="3"/>
    <x v="28"/>
    <x v="3"/>
    <x v="3"/>
    <n v="96"/>
    <n v="65000"/>
    <n v="6240000"/>
  </r>
  <r>
    <x v="236"/>
    <s v="INV00153"/>
    <x v="0"/>
    <x v="38"/>
    <x v="4"/>
    <x v="2"/>
    <n v="96"/>
    <n v="55000"/>
    <n v="5280000"/>
  </r>
  <r>
    <x v="256"/>
    <s v="INV00287"/>
    <x v="2"/>
    <x v="39"/>
    <x v="4"/>
    <x v="1"/>
    <n v="96"/>
    <n v="120000"/>
    <n v="11520000"/>
  </r>
  <r>
    <x v="281"/>
    <s v="INV00354"/>
    <x v="3"/>
    <x v="2"/>
    <x v="1"/>
    <x v="1"/>
    <n v="96"/>
    <n v="65000"/>
    <n v="6240000"/>
  </r>
  <r>
    <x v="241"/>
    <s v="INV00374"/>
    <x v="1"/>
    <x v="19"/>
    <x v="6"/>
    <x v="4"/>
    <n v="96"/>
    <n v="75000"/>
    <n v="7200000"/>
  </r>
  <r>
    <x v="232"/>
    <s v="INV00706"/>
    <x v="1"/>
    <x v="3"/>
    <x v="2"/>
    <x v="2"/>
    <n v="96"/>
    <n v="75000"/>
    <n v="7200000"/>
  </r>
  <r>
    <x v="282"/>
    <s v="INV00759"/>
    <x v="1"/>
    <x v="17"/>
    <x v="0"/>
    <x v="2"/>
    <n v="96"/>
    <n v="75000"/>
    <n v="7200000"/>
  </r>
  <r>
    <x v="18"/>
    <s v="INV00800"/>
    <x v="2"/>
    <x v="46"/>
    <x v="3"/>
    <x v="1"/>
    <n v="96"/>
    <n v="120000"/>
    <n v="11520000"/>
  </r>
  <r>
    <x v="48"/>
    <s v="INV00942"/>
    <x v="3"/>
    <x v="15"/>
    <x v="3"/>
    <x v="3"/>
    <n v="96"/>
    <n v="65000"/>
    <n v="6240000"/>
  </r>
  <r>
    <x v="283"/>
    <s v="INV00982"/>
    <x v="1"/>
    <x v="30"/>
    <x v="2"/>
    <x v="0"/>
    <n v="96"/>
    <n v="75000"/>
    <n v="7200000"/>
  </r>
  <r>
    <x v="231"/>
    <s v="INV00088"/>
    <x v="3"/>
    <x v="42"/>
    <x v="0"/>
    <x v="4"/>
    <n v="97"/>
    <n v="65000"/>
    <n v="6305000"/>
  </r>
  <r>
    <x v="107"/>
    <s v="INV00464"/>
    <x v="0"/>
    <x v="19"/>
    <x v="6"/>
    <x v="2"/>
    <n v="97"/>
    <n v="55000"/>
    <n v="5335000"/>
  </r>
  <r>
    <x v="135"/>
    <s v="INV00596"/>
    <x v="2"/>
    <x v="8"/>
    <x v="2"/>
    <x v="3"/>
    <n v="97"/>
    <n v="120000"/>
    <n v="11640000"/>
  </r>
  <r>
    <x v="4"/>
    <s v="INV00631"/>
    <x v="3"/>
    <x v="21"/>
    <x v="4"/>
    <x v="2"/>
    <n v="97"/>
    <n v="65000"/>
    <n v="6305000"/>
  </r>
  <r>
    <x v="87"/>
    <s v="INV00765"/>
    <x v="1"/>
    <x v="29"/>
    <x v="3"/>
    <x v="2"/>
    <n v="97"/>
    <n v="75000"/>
    <n v="7275000"/>
  </r>
  <r>
    <x v="129"/>
    <s v="INV00866"/>
    <x v="1"/>
    <x v="0"/>
    <x v="0"/>
    <x v="4"/>
    <n v="97"/>
    <n v="75000"/>
    <n v="7275000"/>
  </r>
  <r>
    <x v="90"/>
    <s v="INV00926"/>
    <x v="1"/>
    <x v="43"/>
    <x v="7"/>
    <x v="2"/>
    <n v="97"/>
    <n v="75000"/>
    <n v="7275000"/>
  </r>
  <r>
    <x v="157"/>
    <s v="INV00078"/>
    <x v="2"/>
    <x v="13"/>
    <x v="1"/>
    <x v="2"/>
    <n v="98"/>
    <n v="120000"/>
    <n v="11760000"/>
  </r>
  <r>
    <x v="265"/>
    <s v="INV00305"/>
    <x v="1"/>
    <x v="16"/>
    <x v="3"/>
    <x v="2"/>
    <n v="98"/>
    <n v="75000"/>
    <n v="7350000"/>
  </r>
  <r>
    <x v="284"/>
    <s v="INV00441"/>
    <x v="1"/>
    <x v="17"/>
    <x v="0"/>
    <x v="3"/>
    <n v="98"/>
    <n v="75000"/>
    <n v="7350000"/>
  </r>
  <r>
    <x v="285"/>
    <s v="INV00442"/>
    <x v="2"/>
    <x v="37"/>
    <x v="0"/>
    <x v="1"/>
    <n v="98"/>
    <n v="120000"/>
    <n v="11760000"/>
  </r>
  <r>
    <x v="261"/>
    <s v="INV00601"/>
    <x v="0"/>
    <x v="35"/>
    <x v="3"/>
    <x v="4"/>
    <n v="98"/>
    <n v="55000"/>
    <n v="5390000"/>
  </r>
  <r>
    <x v="206"/>
    <s v="INV00632"/>
    <x v="2"/>
    <x v="36"/>
    <x v="7"/>
    <x v="4"/>
    <n v="98"/>
    <n v="120000"/>
    <n v="11760000"/>
  </r>
  <r>
    <x v="119"/>
    <s v="INV00644"/>
    <x v="1"/>
    <x v="24"/>
    <x v="6"/>
    <x v="2"/>
    <n v="98"/>
    <n v="75000"/>
    <n v="7350000"/>
  </r>
  <r>
    <x v="255"/>
    <s v="INV00662"/>
    <x v="2"/>
    <x v="13"/>
    <x v="1"/>
    <x v="1"/>
    <n v="98"/>
    <n v="120000"/>
    <n v="11760000"/>
  </r>
  <r>
    <x v="279"/>
    <s v="INV00688"/>
    <x v="3"/>
    <x v="17"/>
    <x v="0"/>
    <x v="3"/>
    <n v="98"/>
    <n v="65000"/>
    <n v="6370000"/>
  </r>
  <r>
    <x v="31"/>
    <s v="INV00713"/>
    <x v="2"/>
    <x v="26"/>
    <x v="0"/>
    <x v="2"/>
    <n v="98"/>
    <n v="120000"/>
    <n v="11760000"/>
  </r>
  <r>
    <x v="43"/>
    <s v="INV00770"/>
    <x v="0"/>
    <x v="30"/>
    <x v="2"/>
    <x v="3"/>
    <n v="98"/>
    <n v="55000"/>
    <n v="5390000"/>
  </r>
  <r>
    <x v="71"/>
    <s v="INV01007"/>
    <x v="2"/>
    <x v="45"/>
    <x v="6"/>
    <x v="0"/>
    <n v="98"/>
    <n v="120000"/>
    <n v="11760000"/>
  </r>
  <r>
    <x v="176"/>
    <s v="INV01138"/>
    <x v="1"/>
    <x v="31"/>
    <x v="2"/>
    <x v="3"/>
    <n v="98"/>
    <n v="75000"/>
    <n v="7350000"/>
  </r>
  <r>
    <x v="125"/>
    <s v="INV00355"/>
    <x v="2"/>
    <x v="17"/>
    <x v="0"/>
    <x v="4"/>
    <n v="99"/>
    <n v="120000"/>
    <n v="11880000"/>
  </r>
  <r>
    <x v="268"/>
    <s v="INV01023"/>
    <x v="2"/>
    <x v="2"/>
    <x v="1"/>
    <x v="4"/>
    <n v="99"/>
    <n v="120000"/>
    <n v="11880000"/>
  </r>
  <r>
    <x v="286"/>
    <s v="INV01162"/>
    <x v="3"/>
    <x v="49"/>
    <x v="7"/>
    <x v="3"/>
    <n v="99"/>
    <n v="65000"/>
    <n v="6435000"/>
  </r>
  <r>
    <x v="65"/>
    <s v="INV00217"/>
    <x v="0"/>
    <x v="5"/>
    <x v="4"/>
    <x v="0"/>
    <n v="100"/>
    <n v="55000"/>
    <n v="5500000"/>
  </r>
  <r>
    <x v="192"/>
    <s v="INV00677"/>
    <x v="0"/>
    <x v="20"/>
    <x v="5"/>
    <x v="3"/>
    <n v="100"/>
    <n v="55000"/>
    <n v="5500000"/>
  </r>
  <r>
    <x v="130"/>
    <s v="INV00812"/>
    <x v="0"/>
    <x v="15"/>
    <x v="3"/>
    <x v="1"/>
    <n v="100"/>
    <n v="55000"/>
    <n v="5500000"/>
  </r>
  <r>
    <x v="287"/>
    <s v="INV00855"/>
    <x v="0"/>
    <x v="43"/>
    <x v="7"/>
    <x v="3"/>
    <n v="100"/>
    <n v="55000"/>
    <n v="5500000"/>
  </r>
  <r>
    <x v="282"/>
    <s v="INV01026"/>
    <x v="2"/>
    <x v="40"/>
    <x v="5"/>
    <x v="4"/>
    <n v="100"/>
    <n v="120000"/>
    <n v="12000000"/>
  </r>
  <r>
    <x v="288"/>
    <s v="INV00485"/>
    <x v="2"/>
    <x v="26"/>
    <x v="0"/>
    <x v="0"/>
    <n v="101"/>
    <n v="120000"/>
    <n v="12120000"/>
  </r>
  <r>
    <x v="145"/>
    <s v="INV00023"/>
    <x v="1"/>
    <x v="29"/>
    <x v="3"/>
    <x v="4"/>
    <n v="102"/>
    <n v="75000"/>
    <n v="7650000"/>
  </r>
  <r>
    <x v="268"/>
    <s v="INV00960"/>
    <x v="2"/>
    <x v="41"/>
    <x v="1"/>
    <x v="1"/>
    <n v="102"/>
    <n v="120000"/>
    <n v="12240000"/>
  </r>
  <r>
    <x v="244"/>
    <s v="INV01193"/>
    <x v="3"/>
    <x v="9"/>
    <x v="6"/>
    <x v="4"/>
    <n v="102"/>
    <n v="65000"/>
    <n v="6630000"/>
  </r>
  <r>
    <x v="217"/>
    <s v="INV00416"/>
    <x v="2"/>
    <x v="31"/>
    <x v="2"/>
    <x v="3"/>
    <n v="103"/>
    <n v="120000"/>
    <n v="12360000"/>
  </r>
  <r>
    <x v="285"/>
    <s v="INV00489"/>
    <x v="1"/>
    <x v="3"/>
    <x v="2"/>
    <x v="2"/>
    <n v="103"/>
    <n v="75000"/>
    <n v="7725000"/>
  </r>
  <r>
    <x v="6"/>
    <s v="INV00495"/>
    <x v="3"/>
    <x v="23"/>
    <x v="1"/>
    <x v="4"/>
    <n v="103"/>
    <n v="65000"/>
    <n v="6695000"/>
  </r>
  <r>
    <x v="192"/>
    <s v="INV00605"/>
    <x v="2"/>
    <x v="7"/>
    <x v="6"/>
    <x v="2"/>
    <n v="103"/>
    <n v="120000"/>
    <n v="12360000"/>
  </r>
  <r>
    <x v="14"/>
    <s v="INV00774"/>
    <x v="0"/>
    <x v="11"/>
    <x v="1"/>
    <x v="4"/>
    <n v="103"/>
    <n v="55000"/>
    <n v="5665000"/>
  </r>
  <r>
    <x v="289"/>
    <s v="INV00959"/>
    <x v="0"/>
    <x v="42"/>
    <x v="0"/>
    <x v="1"/>
    <n v="103"/>
    <n v="55000"/>
    <n v="5665000"/>
  </r>
  <r>
    <x v="191"/>
    <s v="INV01011"/>
    <x v="3"/>
    <x v="4"/>
    <x v="3"/>
    <x v="2"/>
    <n v="103"/>
    <n v="65000"/>
    <n v="6695000"/>
  </r>
  <r>
    <x v="290"/>
    <s v="INV01127"/>
    <x v="0"/>
    <x v="17"/>
    <x v="0"/>
    <x v="3"/>
    <n v="103"/>
    <n v="55000"/>
    <n v="5665000"/>
  </r>
  <r>
    <x v="144"/>
    <s v="INV00143"/>
    <x v="1"/>
    <x v="3"/>
    <x v="2"/>
    <x v="2"/>
    <n v="104"/>
    <n v="75000"/>
    <n v="7800000"/>
  </r>
  <r>
    <x v="284"/>
    <s v="INV00462"/>
    <x v="0"/>
    <x v="1"/>
    <x v="1"/>
    <x v="0"/>
    <n v="104"/>
    <n v="55000"/>
    <n v="5720000"/>
  </r>
  <r>
    <x v="266"/>
    <s v="INV00543"/>
    <x v="0"/>
    <x v="17"/>
    <x v="0"/>
    <x v="4"/>
    <n v="104"/>
    <n v="55000"/>
    <n v="5720000"/>
  </r>
  <r>
    <x v="30"/>
    <s v="INV00608"/>
    <x v="3"/>
    <x v="37"/>
    <x v="0"/>
    <x v="0"/>
    <n v="104"/>
    <n v="65000"/>
    <n v="6760000"/>
  </r>
  <r>
    <x v="250"/>
    <s v="INV00611"/>
    <x v="2"/>
    <x v="37"/>
    <x v="0"/>
    <x v="4"/>
    <n v="104"/>
    <n v="120000"/>
    <n v="12480000"/>
  </r>
  <r>
    <x v="181"/>
    <s v="INV00764"/>
    <x v="1"/>
    <x v="28"/>
    <x v="3"/>
    <x v="1"/>
    <n v="104"/>
    <n v="75000"/>
    <n v="7800000"/>
  </r>
  <r>
    <x v="86"/>
    <s v="INV00799"/>
    <x v="0"/>
    <x v="11"/>
    <x v="1"/>
    <x v="3"/>
    <n v="104"/>
    <n v="55000"/>
    <n v="5720000"/>
  </r>
  <r>
    <x v="59"/>
    <s v="INV00961"/>
    <x v="3"/>
    <x v="30"/>
    <x v="2"/>
    <x v="0"/>
    <n v="104"/>
    <n v="65000"/>
    <n v="6760000"/>
  </r>
  <r>
    <x v="109"/>
    <s v="INV00252"/>
    <x v="3"/>
    <x v="42"/>
    <x v="0"/>
    <x v="1"/>
    <n v="105"/>
    <n v="65000"/>
    <n v="6825000"/>
  </r>
  <r>
    <x v="34"/>
    <s v="INV00338"/>
    <x v="2"/>
    <x v="43"/>
    <x v="7"/>
    <x v="3"/>
    <n v="105"/>
    <n v="120000"/>
    <n v="12600000"/>
  </r>
  <r>
    <x v="87"/>
    <s v="INV00380"/>
    <x v="2"/>
    <x v="37"/>
    <x v="0"/>
    <x v="2"/>
    <n v="105"/>
    <n v="120000"/>
    <n v="12600000"/>
  </r>
  <r>
    <x v="232"/>
    <s v="INV00488"/>
    <x v="1"/>
    <x v="22"/>
    <x v="0"/>
    <x v="4"/>
    <n v="105"/>
    <n v="75000"/>
    <n v="7875000"/>
  </r>
  <r>
    <x v="210"/>
    <s v="INV00517"/>
    <x v="3"/>
    <x v="11"/>
    <x v="1"/>
    <x v="4"/>
    <n v="105"/>
    <n v="65000"/>
    <n v="6825000"/>
  </r>
  <r>
    <x v="179"/>
    <s v="INV00614"/>
    <x v="1"/>
    <x v="14"/>
    <x v="5"/>
    <x v="0"/>
    <n v="105"/>
    <n v="75000"/>
    <n v="7875000"/>
  </r>
  <r>
    <x v="291"/>
    <s v="INV00624"/>
    <x v="2"/>
    <x v="15"/>
    <x v="3"/>
    <x v="3"/>
    <n v="105"/>
    <n v="120000"/>
    <n v="12600000"/>
  </r>
  <r>
    <x v="206"/>
    <s v="INV01175"/>
    <x v="3"/>
    <x v="48"/>
    <x v="4"/>
    <x v="0"/>
    <n v="105"/>
    <n v="65000"/>
    <n v="6825000"/>
  </r>
  <r>
    <x v="227"/>
    <s v="INV00095"/>
    <x v="2"/>
    <x v="49"/>
    <x v="7"/>
    <x v="1"/>
    <n v="106"/>
    <n v="120000"/>
    <n v="12720000"/>
  </r>
  <r>
    <x v="101"/>
    <s v="INV00201"/>
    <x v="3"/>
    <x v="25"/>
    <x v="5"/>
    <x v="2"/>
    <n v="106"/>
    <n v="65000"/>
    <n v="6890000"/>
  </r>
  <r>
    <x v="285"/>
    <s v="INV00202"/>
    <x v="1"/>
    <x v="10"/>
    <x v="0"/>
    <x v="2"/>
    <n v="106"/>
    <n v="75000"/>
    <n v="7950000"/>
  </r>
  <r>
    <x v="238"/>
    <s v="INV00334"/>
    <x v="3"/>
    <x v="31"/>
    <x v="2"/>
    <x v="3"/>
    <n v="106"/>
    <n v="65000"/>
    <n v="6890000"/>
  </r>
  <r>
    <x v="158"/>
    <s v="INV00414"/>
    <x v="2"/>
    <x v="20"/>
    <x v="5"/>
    <x v="0"/>
    <n v="106"/>
    <n v="120000"/>
    <n v="12720000"/>
  </r>
  <r>
    <x v="113"/>
    <s v="INV00658"/>
    <x v="2"/>
    <x v="38"/>
    <x v="4"/>
    <x v="2"/>
    <n v="106"/>
    <n v="120000"/>
    <n v="12720000"/>
  </r>
  <r>
    <x v="25"/>
    <s v="INV00879"/>
    <x v="0"/>
    <x v="25"/>
    <x v="5"/>
    <x v="4"/>
    <n v="106"/>
    <n v="55000"/>
    <n v="5830000"/>
  </r>
  <r>
    <x v="289"/>
    <s v="INV00952"/>
    <x v="1"/>
    <x v="47"/>
    <x v="3"/>
    <x v="3"/>
    <n v="106"/>
    <n v="75000"/>
    <n v="7950000"/>
  </r>
  <r>
    <x v="216"/>
    <s v="INV00159"/>
    <x v="0"/>
    <x v="23"/>
    <x v="1"/>
    <x v="4"/>
    <n v="107"/>
    <n v="55000"/>
    <n v="5885000"/>
  </r>
  <r>
    <x v="292"/>
    <s v="INV00472"/>
    <x v="0"/>
    <x v="9"/>
    <x v="6"/>
    <x v="0"/>
    <n v="107"/>
    <n v="55000"/>
    <n v="5885000"/>
  </r>
  <r>
    <x v="85"/>
    <s v="INV00723"/>
    <x v="0"/>
    <x v="15"/>
    <x v="3"/>
    <x v="0"/>
    <n v="107"/>
    <n v="55000"/>
    <n v="5885000"/>
  </r>
  <r>
    <x v="293"/>
    <s v="INV00849"/>
    <x v="0"/>
    <x v="17"/>
    <x v="0"/>
    <x v="1"/>
    <n v="107"/>
    <n v="55000"/>
    <n v="5885000"/>
  </r>
  <r>
    <x v="281"/>
    <s v="INV00300"/>
    <x v="0"/>
    <x v="37"/>
    <x v="0"/>
    <x v="1"/>
    <n v="108"/>
    <n v="55000"/>
    <n v="5940000"/>
  </r>
  <r>
    <x v="50"/>
    <s v="INV00336"/>
    <x v="2"/>
    <x v="32"/>
    <x v="4"/>
    <x v="1"/>
    <n v="108"/>
    <n v="120000"/>
    <n v="12960000"/>
  </r>
  <r>
    <x v="59"/>
    <s v="INV01041"/>
    <x v="3"/>
    <x v="48"/>
    <x v="4"/>
    <x v="2"/>
    <n v="108"/>
    <n v="65000"/>
    <n v="7020000"/>
  </r>
  <r>
    <x v="242"/>
    <s v="INV00016"/>
    <x v="2"/>
    <x v="7"/>
    <x v="6"/>
    <x v="3"/>
    <n v="109"/>
    <n v="120000"/>
    <n v="13080000"/>
  </r>
  <r>
    <x v="20"/>
    <s v="INV00131"/>
    <x v="2"/>
    <x v="13"/>
    <x v="1"/>
    <x v="1"/>
    <n v="109"/>
    <n v="120000"/>
    <n v="13080000"/>
  </r>
  <r>
    <x v="75"/>
    <s v="INV00224"/>
    <x v="2"/>
    <x v="1"/>
    <x v="1"/>
    <x v="2"/>
    <n v="109"/>
    <n v="120000"/>
    <n v="13080000"/>
  </r>
  <r>
    <x v="90"/>
    <s v="INV00487"/>
    <x v="0"/>
    <x v="42"/>
    <x v="0"/>
    <x v="3"/>
    <n v="109"/>
    <n v="55000"/>
    <n v="5995000"/>
  </r>
  <r>
    <x v="211"/>
    <s v="INV00782"/>
    <x v="1"/>
    <x v="37"/>
    <x v="0"/>
    <x v="0"/>
    <n v="109"/>
    <n v="75000"/>
    <n v="8175000"/>
  </r>
  <r>
    <x v="38"/>
    <s v="INV01105"/>
    <x v="0"/>
    <x v="10"/>
    <x v="0"/>
    <x v="3"/>
    <n v="109"/>
    <n v="55000"/>
    <n v="5995000"/>
  </r>
  <r>
    <x v="145"/>
    <s v="INV00007"/>
    <x v="0"/>
    <x v="22"/>
    <x v="0"/>
    <x v="1"/>
    <n v="110"/>
    <n v="55000"/>
    <n v="6050000"/>
  </r>
  <r>
    <x v="215"/>
    <s v="INV00591"/>
    <x v="2"/>
    <x v="36"/>
    <x v="7"/>
    <x v="3"/>
    <n v="110"/>
    <n v="120000"/>
    <n v="13200000"/>
  </r>
  <r>
    <x v="233"/>
    <s v="INV01099"/>
    <x v="3"/>
    <x v="15"/>
    <x v="3"/>
    <x v="4"/>
    <n v="110"/>
    <n v="65000"/>
    <n v="7150000"/>
  </r>
  <r>
    <x v="140"/>
    <s v="INV00299"/>
    <x v="2"/>
    <x v="4"/>
    <x v="3"/>
    <x v="1"/>
    <n v="111"/>
    <n v="120000"/>
    <n v="13320000"/>
  </r>
  <r>
    <x v="291"/>
    <s v="INV00353"/>
    <x v="0"/>
    <x v="9"/>
    <x v="6"/>
    <x v="4"/>
    <n v="111"/>
    <n v="55000"/>
    <n v="6105000"/>
  </r>
  <r>
    <x v="132"/>
    <s v="INV00579"/>
    <x v="1"/>
    <x v="27"/>
    <x v="2"/>
    <x v="2"/>
    <n v="111"/>
    <n v="75000"/>
    <n v="8325000"/>
  </r>
  <r>
    <x v="24"/>
    <s v="INV00778"/>
    <x v="3"/>
    <x v="14"/>
    <x v="5"/>
    <x v="4"/>
    <n v="111"/>
    <n v="65000"/>
    <n v="7215000"/>
  </r>
  <r>
    <x v="247"/>
    <s v="INV01094"/>
    <x v="1"/>
    <x v="12"/>
    <x v="2"/>
    <x v="2"/>
    <n v="111"/>
    <n v="75000"/>
    <n v="8325000"/>
  </r>
  <r>
    <x v="91"/>
    <s v="INV00184"/>
    <x v="0"/>
    <x v="30"/>
    <x v="2"/>
    <x v="1"/>
    <n v="112"/>
    <n v="55000"/>
    <n v="6160000"/>
  </r>
  <r>
    <x v="195"/>
    <s v="INV00268"/>
    <x v="0"/>
    <x v="11"/>
    <x v="1"/>
    <x v="3"/>
    <n v="112"/>
    <n v="55000"/>
    <n v="6160000"/>
  </r>
  <r>
    <x v="249"/>
    <s v="INV00645"/>
    <x v="2"/>
    <x v="30"/>
    <x v="2"/>
    <x v="2"/>
    <n v="112"/>
    <n v="120000"/>
    <n v="13440000"/>
  </r>
  <r>
    <x v="195"/>
    <s v="INV00796"/>
    <x v="2"/>
    <x v="16"/>
    <x v="3"/>
    <x v="0"/>
    <n v="112"/>
    <n v="120000"/>
    <n v="13440000"/>
  </r>
  <r>
    <x v="294"/>
    <s v="INV01057"/>
    <x v="2"/>
    <x v="18"/>
    <x v="4"/>
    <x v="3"/>
    <n v="112"/>
    <n v="120000"/>
    <n v="13440000"/>
  </r>
  <r>
    <x v="128"/>
    <s v="INV01066"/>
    <x v="2"/>
    <x v="40"/>
    <x v="5"/>
    <x v="1"/>
    <n v="112"/>
    <n v="120000"/>
    <n v="13440000"/>
  </r>
  <r>
    <x v="93"/>
    <s v="INV00375"/>
    <x v="3"/>
    <x v="11"/>
    <x v="1"/>
    <x v="3"/>
    <n v="113"/>
    <n v="65000"/>
    <n v="7345000"/>
  </r>
  <r>
    <x v="9"/>
    <s v="INV00470"/>
    <x v="0"/>
    <x v="47"/>
    <x v="3"/>
    <x v="3"/>
    <n v="113"/>
    <n v="55000"/>
    <n v="6215000"/>
  </r>
  <r>
    <x v="96"/>
    <s v="INV00689"/>
    <x v="3"/>
    <x v="10"/>
    <x v="0"/>
    <x v="1"/>
    <n v="113"/>
    <n v="65000"/>
    <n v="7345000"/>
  </r>
  <r>
    <x v="295"/>
    <s v="INV00692"/>
    <x v="3"/>
    <x v="42"/>
    <x v="0"/>
    <x v="4"/>
    <n v="113"/>
    <n v="65000"/>
    <n v="7345000"/>
  </r>
  <r>
    <x v="158"/>
    <s v="INV00962"/>
    <x v="1"/>
    <x v="46"/>
    <x v="3"/>
    <x v="4"/>
    <n v="113"/>
    <n v="75000"/>
    <n v="8475000"/>
  </r>
  <r>
    <x v="233"/>
    <s v="INV01190"/>
    <x v="3"/>
    <x v="41"/>
    <x v="1"/>
    <x v="2"/>
    <n v="113"/>
    <n v="65000"/>
    <n v="7345000"/>
  </r>
  <r>
    <x v="208"/>
    <s v="INV00086"/>
    <x v="3"/>
    <x v="8"/>
    <x v="2"/>
    <x v="0"/>
    <n v="114"/>
    <n v="65000"/>
    <n v="7410000"/>
  </r>
  <r>
    <x v="286"/>
    <s v="INV00255"/>
    <x v="0"/>
    <x v="25"/>
    <x v="5"/>
    <x v="3"/>
    <n v="114"/>
    <n v="55000"/>
    <n v="6270000"/>
  </r>
  <r>
    <x v="78"/>
    <s v="INV00537"/>
    <x v="3"/>
    <x v="31"/>
    <x v="2"/>
    <x v="0"/>
    <n v="114"/>
    <n v="65000"/>
    <n v="7410000"/>
  </r>
  <r>
    <x v="236"/>
    <s v="INV00734"/>
    <x v="0"/>
    <x v="23"/>
    <x v="1"/>
    <x v="3"/>
    <n v="114"/>
    <n v="55000"/>
    <n v="6270000"/>
  </r>
  <r>
    <x v="51"/>
    <s v="INV00756"/>
    <x v="3"/>
    <x v="42"/>
    <x v="0"/>
    <x v="3"/>
    <n v="114"/>
    <n v="65000"/>
    <n v="7410000"/>
  </r>
  <r>
    <x v="92"/>
    <s v="INV00821"/>
    <x v="1"/>
    <x v="30"/>
    <x v="2"/>
    <x v="1"/>
    <n v="114"/>
    <n v="75000"/>
    <n v="8550000"/>
  </r>
  <r>
    <x v="235"/>
    <s v="INV00851"/>
    <x v="3"/>
    <x v="20"/>
    <x v="5"/>
    <x v="3"/>
    <n v="114"/>
    <n v="65000"/>
    <n v="7410000"/>
  </r>
  <r>
    <x v="296"/>
    <s v="INV00877"/>
    <x v="1"/>
    <x v="14"/>
    <x v="5"/>
    <x v="1"/>
    <n v="114"/>
    <n v="75000"/>
    <n v="8550000"/>
  </r>
  <r>
    <x v="132"/>
    <s v="INV01128"/>
    <x v="3"/>
    <x v="26"/>
    <x v="0"/>
    <x v="1"/>
    <n v="114"/>
    <n v="65000"/>
    <n v="7410000"/>
  </r>
  <r>
    <x v="297"/>
    <s v="INV00149"/>
    <x v="1"/>
    <x v="15"/>
    <x v="3"/>
    <x v="4"/>
    <n v="115"/>
    <n v="75000"/>
    <n v="8625000"/>
  </r>
  <r>
    <x v="77"/>
    <s v="INV00178"/>
    <x v="3"/>
    <x v="40"/>
    <x v="5"/>
    <x v="2"/>
    <n v="115"/>
    <n v="65000"/>
    <n v="7475000"/>
  </r>
  <r>
    <x v="191"/>
    <s v="INV00391"/>
    <x v="2"/>
    <x v="9"/>
    <x v="6"/>
    <x v="2"/>
    <n v="115"/>
    <n v="120000"/>
    <n v="13800000"/>
  </r>
  <r>
    <x v="63"/>
    <s v="INV00726"/>
    <x v="3"/>
    <x v="48"/>
    <x v="4"/>
    <x v="4"/>
    <n v="115"/>
    <n v="65000"/>
    <n v="7475000"/>
  </r>
  <r>
    <x v="298"/>
    <s v="INV01060"/>
    <x v="1"/>
    <x v="37"/>
    <x v="0"/>
    <x v="0"/>
    <n v="115"/>
    <n v="75000"/>
    <n v="8625000"/>
  </r>
  <r>
    <x v="88"/>
    <s v="INV00237"/>
    <x v="3"/>
    <x v="7"/>
    <x v="6"/>
    <x v="3"/>
    <n v="116"/>
    <n v="65000"/>
    <n v="7540000"/>
  </r>
  <r>
    <x v="249"/>
    <s v="INV00862"/>
    <x v="0"/>
    <x v="1"/>
    <x v="1"/>
    <x v="4"/>
    <n v="116"/>
    <n v="55000"/>
    <n v="6380000"/>
  </r>
  <r>
    <x v="119"/>
    <s v="INV00995"/>
    <x v="1"/>
    <x v="33"/>
    <x v="7"/>
    <x v="3"/>
    <n v="116"/>
    <n v="75000"/>
    <n v="8700000"/>
  </r>
  <r>
    <x v="273"/>
    <s v="INV01172"/>
    <x v="2"/>
    <x v="2"/>
    <x v="1"/>
    <x v="2"/>
    <n v="116"/>
    <n v="120000"/>
    <n v="13920000"/>
  </r>
  <r>
    <x v="63"/>
    <s v="INV00260"/>
    <x v="3"/>
    <x v="16"/>
    <x v="3"/>
    <x v="2"/>
    <n v="117"/>
    <n v="65000"/>
    <n v="7605000"/>
  </r>
  <r>
    <x v="157"/>
    <s v="INV00266"/>
    <x v="3"/>
    <x v="46"/>
    <x v="3"/>
    <x v="4"/>
    <n v="117"/>
    <n v="65000"/>
    <n v="7605000"/>
  </r>
  <r>
    <x v="240"/>
    <s v="INV00419"/>
    <x v="3"/>
    <x v="22"/>
    <x v="0"/>
    <x v="2"/>
    <n v="117"/>
    <n v="65000"/>
    <n v="7605000"/>
  </r>
  <r>
    <x v="238"/>
    <s v="INV00571"/>
    <x v="3"/>
    <x v="1"/>
    <x v="1"/>
    <x v="3"/>
    <n v="117"/>
    <n v="65000"/>
    <n v="7605000"/>
  </r>
  <r>
    <x v="273"/>
    <s v="INV00897"/>
    <x v="3"/>
    <x v="10"/>
    <x v="0"/>
    <x v="0"/>
    <n v="117"/>
    <n v="65000"/>
    <n v="7605000"/>
  </r>
  <r>
    <x v="255"/>
    <s v="INV00917"/>
    <x v="2"/>
    <x v="44"/>
    <x v="4"/>
    <x v="0"/>
    <n v="117"/>
    <n v="120000"/>
    <n v="14040000"/>
  </r>
  <r>
    <x v="166"/>
    <s v="INV01027"/>
    <x v="2"/>
    <x v="11"/>
    <x v="1"/>
    <x v="0"/>
    <n v="117"/>
    <n v="120000"/>
    <n v="14040000"/>
  </r>
  <r>
    <x v="197"/>
    <s v="INV01114"/>
    <x v="0"/>
    <x v="11"/>
    <x v="1"/>
    <x v="1"/>
    <n v="117"/>
    <n v="55000"/>
    <n v="6435000"/>
  </r>
  <r>
    <x v="46"/>
    <s v="INV01137"/>
    <x v="0"/>
    <x v="49"/>
    <x v="7"/>
    <x v="3"/>
    <n v="117"/>
    <n v="55000"/>
    <n v="6435000"/>
  </r>
  <r>
    <x v="158"/>
    <s v="INV00208"/>
    <x v="0"/>
    <x v="16"/>
    <x v="3"/>
    <x v="4"/>
    <n v="118"/>
    <n v="55000"/>
    <n v="6490000"/>
  </r>
  <r>
    <x v="5"/>
    <s v="INV00453"/>
    <x v="3"/>
    <x v="47"/>
    <x v="3"/>
    <x v="4"/>
    <n v="118"/>
    <n v="65000"/>
    <n v="7670000"/>
  </r>
  <r>
    <x v="71"/>
    <s v="INV00822"/>
    <x v="3"/>
    <x v="45"/>
    <x v="6"/>
    <x v="1"/>
    <n v="118"/>
    <n v="65000"/>
    <n v="7670000"/>
  </r>
  <r>
    <x v="21"/>
    <s v="INV00871"/>
    <x v="2"/>
    <x v="13"/>
    <x v="1"/>
    <x v="3"/>
    <n v="118"/>
    <n v="120000"/>
    <n v="14160000"/>
  </r>
  <r>
    <x v="299"/>
    <s v="INV00043"/>
    <x v="1"/>
    <x v="34"/>
    <x v="0"/>
    <x v="2"/>
    <n v="119"/>
    <n v="75000"/>
    <n v="8925000"/>
  </r>
  <r>
    <x v="300"/>
    <s v="INV00067"/>
    <x v="1"/>
    <x v="1"/>
    <x v="1"/>
    <x v="0"/>
    <n v="119"/>
    <n v="75000"/>
    <n v="8925000"/>
  </r>
  <r>
    <x v="189"/>
    <s v="INV00162"/>
    <x v="0"/>
    <x v="7"/>
    <x v="6"/>
    <x v="2"/>
    <n v="119"/>
    <n v="55000"/>
    <n v="6545000"/>
  </r>
  <r>
    <x v="218"/>
    <s v="INV00231"/>
    <x v="0"/>
    <x v="44"/>
    <x v="4"/>
    <x v="3"/>
    <n v="119"/>
    <n v="55000"/>
    <n v="6545000"/>
  </r>
  <r>
    <x v="156"/>
    <s v="INV00377"/>
    <x v="1"/>
    <x v="47"/>
    <x v="3"/>
    <x v="2"/>
    <n v="119"/>
    <n v="75000"/>
    <n v="8925000"/>
  </r>
  <r>
    <x v="223"/>
    <s v="INV00634"/>
    <x v="0"/>
    <x v="33"/>
    <x v="7"/>
    <x v="4"/>
    <n v="119"/>
    <n v="55000"/>
    <n v="6545000"/>
  </r>
  <r>
    <x v="27"/>
    <s v="INV00062"/>
    <x v="0"/>
    <x v="22"/>
    <x v="0"/>
    <x v="3"/>
    <n v="120"/>
    <n v="55000"/>
    <n v="6600000"/>
  </r>
  <r>
    <x v="38"/>
    <s v="INV00216"/>
    <x v="2"/>
    <x v="31"/>
    <x v="2"/>
    <x v="0"/>
    <n v="120"/>
    <n v="120000"/>
    <n v="14400000"/>
  </r>
  <r>
    <x v="182"/>
    <s v="INV00320"/>
    <x v="3"/>
    <x v="31"/>
    <x v="2"/>
    <x v="4"/>
    <n v="120"/>
    <n v="65000"/>
    <n v="7800000"/>
  </r>
  <r>
    <x v="7"/>
    <s v="INV00699"/>
    <x v="3"/>
    <x v="22"/>
    <x v="0"/>
    <x v="4"/>
    <n v="120"/>
    <n v="65000"/>
    <n v="7800000"/>
  </r>
  <r>
    <x v="225"/>
    <s v="INV00903"/>
    <x v="0"/>
    <x v="6"/>
    <x v="5"/>
    <x v="2"/>
    <n v="120"/>
    <n v="55000"/>
    <n v="6600000"/>
  </r>
  <r>
    <x v="301"/>
    <s v="INV01135"/>
    <x v="0"/>
    <x v="29"/>
    <x v="3"/>
    <x v="2"/>
    <n v="120"/>
    <n v="55000"/>
    <n v="6600000"/>
  </r>
  <r>
    <x v="288"/>
    <s v="INV01170"/>
    <x v="2"/>
    <x v="31"/>
    <x v="2"/>
    <x v="2"/>
    <n v="120"/>
    <n v="120000"/>
    <n v="14400000"/>
  </r>
  <r>
    <x v="116"/>
    <s v="INV00045"/>
    <x v="2"/>
    <x v="31"/>
    <x v="2"/>
    <x v="2"/>
    <n v="121"/>
    <n v="120000"/>
    <n v="14520000"/>
  </r>
  <r>
    <x v="302"/>
    <s v="INV00182"/>
    <x v="3"/>
    <x v="22"/>
    <x v="0"/>
    <x v="0"/>
    <n v="121"/>
    <n v="65000"/>
    <n v="7865000"/>
  </r>
  <r>
    <x v="197"/>
    <s v="INV00435"/>
    <x v="0"/>
    <x v="32"/>
    <x v="4"/>
    <x v="0"/>
    <n v="121"/>
    <n v="55000"/>
    <n v="6655000"/>
  </r>
  <r>
    <x v="61"/>
    <s v="INV00786"/>
    <x v="3"/>
    <x v="20"/>
    <x v="5"/>
    <x v="3"/>
    <n v="121"/>
    <n v="65000"/>
    <n v="7865000"/>
  </r>
  <r>
    <x v="50"/>
    <s v="INV00852"/>
    <x v="0"/>
    <x v="8"/>
    <x v="2"/>
    <x v="2"/>
    <n v="121"/>
    <n v="55000"/>
    <n v="6655000"/>
  </r>
  <r>
    <x v="303"/>
    <s v="INV00914"/>
    <x v="0"/>
    <x v="24"/>
    <x v="6"/>
    <x v="4"/>
    <n v="121"/>
    <n v="55000"/>
    <n v="6655000"/>
  </r>
  <r>
    <x v="34"/>
    <s v="INV00092"/>
    <x v="0"/>
    <x v="43"/>
    <x v="7"/>
    <x v="4"/>
    <n v="122"/>
    <n v="55000"/>
    <n v="6710000"/>
  </r>
  <r>
    <x v="213"/>
    <s v="INV00213"/>
    <x v="0"/>
    <x v="33"/>
    <x v="7"/>
    <x v="3"/>
    <n v="122"/>
    <n v="55000"/>
    <n v="6710000"/>
  </r>
  <r>
    <x v="295"/>
    <s v="INV00304"/>
    <x v="1"/>
    <x v="33"/>
    <x v="7"/>
    <x v="2"/>
    <n v="122"/>
    <n v="75000"/>
    <n v="9150000"/>
  </r>
  <r>
    <x v="87"/>
    <s v="INV00621"/>
    <x v="2"/>
    <x v="28"/>
    <x v="3"/>
    <x v="4"/>
    <n v="122"/>
    <n v="120000"/>
    <n v="14640000"/>
  </r>
  <r>
    <x v="256"/>
    <s v="INV00680"/>
    <x v="1"/>
    <x v="19"/>
    <x v="6"/>
    <x v="0"/>
    <n v="122"/>
    <n v="75000"/>
    <n v="9150000"/>
  </r>
  <r>
    <x v="50"/>
    <s v="INV01010"/>
    <x v="3"/>
    <x v="18"/>
    <x v="4"/>
    <x v="3"/>
    <n v="122"/>
    <n v="65000"/>
    <n v="7930000"/>
  </r>
  <r>
    <x v="38"/>
    <s v="INV00385"/>
    <x v="0"/>
    <x v="46"/>
    <x v="3"/>
    <x v="1"/>
    <n v="123"/>
    <n v="55000"/>
    <n v="6765000"/>
  </r>
  <r>
    <x v="83"/>
    <s v="INV00490"/>
    <x v="1"/>
    <x v="16"/>
    <x v="3"/>
    <x v="3"/>
    <n v="123"/>
    <n v="75000"/>
    <n v="9225000"/>
  </r>
  <r>
    <x v="99"/>
    <s v="INV00607"/>
    <x v="3"/>
    <x v="31"/>
    <x v="2"/>
    <x v="4"/>
    <n v="123"/>
    <n v="65000"/>
    <n v="7995000"/>
  </r>
  <r>
    <x v="279"/>
    <s v="INV00748"/>
    <x v="3"/>
    <x v="8"/>
    <x v="2"/>
    <x v="4"/>
    <n v="123"/>
    <n v="65000"/>
    <n v="7995000"/>
  </r>
  <r>
    <x v="144"/>
    <s v="INV01047"/>
    <x v="0"/>
    <x v="26"/>
    <x v="0"/>
    <x v="0"/>
    <n v="123"/>
    <n v="55000"/>
    <n v="6765000"/>
  </r>
  <r>
    <x v="77"/>
    <s v="INV01059"/>
    <x v="2"/>
    <x v="24"/>
    <x v="6"/>
    <x v="3"/>
    <n v="123"/>
    <n v="120000"/>
    <n v="14760000"/>
  </r>
  <r>
    <x v="260"/>
    <s v="INV01092"/>
    <x v="0"/>
    <x v="23"/>
    <x v="1"/>
    <x v="4"/>
    <n v="123"/>
    <n v="55000"/>
    <n v="6765000"/>
  </r>
  <r>
    <x v="216"/>
    <s v="INV01150"/>
    <x v="2"/>
    <x v="3"/>
    <x v="2"/>
    <x v="4"/>
    <n v="123"/>
    <n v="120000"/>
    <n v="14760000"/>
  </r>
  <r>
    <x v="203"/>
    <s v="INV00312"/>
    <x v="3"/>
    <x v="16"/>
    <x v="3"/>
    <x v="0"/>
    <n v="124"/>
    <n v="65000"/>
    <n v="8060000"/>
  </r>
  <r>
    <x v="100"/>
    <s v="INV01080"/>
    <x v="3"/>
    <x v="49"/>
    <x v="7"/>
    <x v="4"/>
    <n v="124"/>
    <n v="65000"/>
    <n v="8060000"/>
  </r>
  <r>
    <x v="244"/>
    <s v="INV01118"/>
    <x v="1"/>
    <x v="2"/>
    <x v="1"/>
    <x v="1"/>
    <n v="124"/>
    <n v="75000"/>
    <n v="9300000"/>
  </r>
  <r>
    <x v="304"/>
    <s v="INV01144"/>
    <x v="3"/>
    <x v="8"/>
    <x v="2"/>
    <x v="2"/>
    <n v="124"/>
    <n v="65000"/>
    <n v="8060000"/>
  </r>
  <r>
    <x v="31"/>
    <s v="INV00139"/>
    <x v="3"/>
    <x v="44"/>
    <x v="4"/>
    <x v="2"/>
    <n v="125"/>
    <n v="65000"/>
    <n v="8125000"/>
  </r>
  <r>
    <x v="31"/>
    <s v="INV00196"/>
    <x v="0"/>
    <x v="45"/>
    <x v="6"/>
    <x v="0"/>
    <n v="125"/>
    <n v="55000"/>
    <n v="6875000"/>
  </r>
  <r>
    <x v="2"/>
    <s v="INV00430"/>
    <x v="2"/>
    <x v="44"/>
    <x v="4"/>
    <x v="1"/>
    <n v="125"/>
    <n v="120000"/>
    <n v="15000000"/>
  </r>
  <r>
    <x v="243"/>
    <s v="INV00475"/>
    <x v="2"/>
    <x v="26"/>
    <x v="0"/>
    <x v="1"/>
    <n v="125"/>
    <n v="120000"/>
    <n v="15000000"/>
  </r>
  <r>
    <x v="264"/>
    <s v="INV00620"/>
    <x v="1"/>
    <x v="8"/>
    <x v="2"/>
    <x v="2"/>
    <n v="125"/>
    <n v="75000"/>
    <n v="9375000"/>
  </r>
  <r>
    <x v="227"/>
    <s v="INV00646"/>
    <x v="2"/>
    <x v="21"/>
    <x v="4"/>
    <x v="4"/>
    <n v="125"/>
    <n v="120000"/>
    <n v="15000000"/>
  </r>
  <r>
    <x v="199"/>
    <s v="INV00693"/>
    <x v="0"/>
    <x v="25"/>
    <x v="5"/>
    <x v="0"/>
    <n v="125"/>
    <n v="55000"/>
    <n v="6875000"/>
  </r>
  <r>
    <x v="305"/>
    <s v="INV00980"/>
    <x v="0"/>
    <x v="21"/>
    <x v="4"/>
    <x v="4"/>
    <n v="125"/>
    <n v="55000"/>
    <n v="6875000"/>
  </r>
  <r>
    <x v="148"/>
    <s v="INV01006"/>
    <x v="2"/>
    <x v="17"/>
    <x v="0"/>
    <x v="2"/>
    <n v="125"/>
    <n v="120000"/>
    <n v="15000000"/>
  </r>
  <r>
    <x v="306"/>
    <s v="INV00008"/>
    <x v="2"/>
    <x v="11"/>
    <x v="1"/>
    <x v="0"/>
    <n v="126"/>
    <n v="120000"/>
    <n v="15120000"/>
  </r>
  <r>
    <x v="152"/>
    <s v="INV00368"/>
    <x v="2"/>
    <x v="30"/>
    <x v="2"/>
    <x v="0"/>
    <n v="126"/>
    <n v="120000"/>
    <n v="15120000"/>
  </r>
  <r>
    <x v="56"/>
    <s v="INV00469"/>
    <x v="0"/>
    <x v="38"/>
    <x v="4"/>
    <x v="4"/>
    <n v="126"/>
    <n v="55000"/>
    <n v="6930000"/>
  </r>
  <r>
    <x v="184"/>
    <s v="INV00493"/>
    <x v="1"/>
    <x v="35"/>
    <x v="3"/>
    <x v="1"/>
    <n v="126"/>
    <n v="75000"/>
    <n v="9450000"/>
  </r>
  <r>
    <x v="251"/>
    <s v="INV00506"/>
    <x v="1"/>
    <x v="13"/>
    <x v="1"/>
    <x v="2"/>
    <n v="126"/>
    <n v="75000"/>
    <n v="9450000"/>
  </r>
  <r>
    <x v="14"/>
    <s v="INV01018"/>
    <x v="3"/>
    <x v="1"/>
    <x v="1"/>
    <x v="1"/>
    <n v="126"/>
    <n v="65000"/>
    <n v="8190000"/>
  </r>
  <r>
    <x v="96"/>
    <s v="INV01031"/>
    <x v="3"/>
    <x v="39"/>
    <x v="4"/>
    <x v="2"/>
    <n v="126"/>
    <n v="65000"/>
    <n v="8190000"/>
  </r>
  <r>
    <x v="0"/>
    <s v="INV01130"/>
    <x v="2"/>
    <x v="5"/>
    <x v="4"/>
    <x v="3"/>
    <n v="126"/>
    <n v="120000"/>
    <n v="15120000"/>
  </r>
  <r>
    <x v="45"/>
    <s v="INV00061"/>
    <x v="2"/>
    <x v="34"/>
    <x v="0"/>
    <x v="0"/>
    <n v="127"/>
    <n v="120000"/>
    <n v="15240000"/>
  </r>
  <r>
    <x v="307"/>
    <s v="INV00151"/>
    <x v="2"/>
    <x v="46"/>
    <x v="3"/>
    <x v="1"/>
    <n v="127"/>
    <n v="120000"/>
    <n v="15240000"/>
  </r>
  <r>
    <x v="308"/>
    <s v="INV00207"/>
    <x v="3"/>
    <x v="14"/>
    <x v="5"/>
    <x v="4"/>
    <n v="127"/>
    <n v="65000"/>
    <n v="8255000"/>
  </r>
  <r>
    <x v="309"/>
    <s v="INV00293"/>
    <x v="2"/>
    <x v="12"/>
    <x v="2"/>
    <x v="3"/>
    <n v="127"/>
    <n v="120000"/>
    <n v="15240000"/>
  </r>
  <r>
    <x v="150"/>
    <s v="INV00303"/>
    <x v="1"/>
    <x v="0"/>
    <x v="0"/>
    <x v="0"/>
    <n v="127"/>
    <n v="75000"/>
    <n v="9525000"/>
  </r>
  <r>
    <x v="232"/>
    <s v="INV00398"/>
    <x v="0"/>
    <x v="17"/>
    <x v="0"/>
    <x v="2"/>
    <n v="127"/>
    <n v="55000"/>
    <n v="6985000"/>
  </r>
  <r>
    <x v="310"/>
    <s v="INV00436"/>
    <x v="0"/>
    <x v="6"/>
    <x v="5"/>
    <x v="1"/>
    <n v="127"/>
    <n v="55000"/>
    <n v="6985000"/>
  </r>
  <r>
    <x v="90"/>
    <s v="INV00541"/>
    <x v="2"/>
    <x v="35"/>
    <x v="3"/>
    <x v="0"/>
    <n v="127"/>
    <n v="120000"/>
    <n v="15240000"/>
  </r>
  <r>
    <x v="57"/>
    <s v="INV00684"/>
    <x v="1"/>
    <x v="37"/>
    <x v="0"/>
    <x v="1"/>
    <n v="127"/>
    <n v="75000"/>
    <n v="9525000"/>
  </r>
  <r>
    <x v="203"/>
    <s v="INV00979"/>
    <x v="1"/>
    <x v="16"/>
    <x v="3"/>
    <x v="4"/>
    <n v="127"/>
    <n v="75000"/>
    <n v="9525000"/>
  </r>
  <r>
    <x v="200"/>
    <s v="INV01003"/>
    <x v="2"/>
    <x v="48"/>
    <x v="4"/>
    <x v="4"/>
    <n v="127"/>
    <n v="120000"/>
    <n v="15240000"/>
  </r>
  <r>
    <x v="300"/>
    <s v="INV01013"/>
    <x v="3"/>
    <x v="12"/>
    <x v="2"/>
    <x v="4"/>
    <n v="127"/>
    <n v="65000"/>
    <n v="8255000"/>
  </r>
  <r>
    <x v="233"/>
    <s v="INV00183"/>
    <x v="2"/>
    <x v="34"/>
    <x v="0"/>
    <x v="4"/>
    <n v="128"/>
    <n v="120000"/>
    <n v="15360000"/>
  </r>
  <r>
    <x v="142"/>
    <s v="INV00687"/>
    <x v="2"/>
    <x v="12"/>
    <x v="2"/>
    <x v="4"/>
    <n v="128"/>
    <n v="120000"/>
    <n v="15360000"/>
  </r>
  <r>
    <x v="55"/>
    <s v="INV01021"/>
    <x v="2"/>
    <x v="28"/>
    <x v="3"/>
    <x v="0"/>
    <n v="128"/>
    <n v="120000"/>
    <n v="15360000"/>
  </r>
  <r>
    <x v="311"/>
    <s v="INV00420"/>
    <x v="3"/>
    <x v="33"/>
    <x v="7"/>
    <x v="1"/>
    <n v="129"/>
    <n v="65000"/>
    <n v="8385000"/>
  </r>
  <r>
    <x v="59"/>
    <s v="INV00568"/>
    <x v="3"/>
    <x v="41"/>
    <x v="1"/>
    <x v="3"/>
    <n v="129"/>
    <n v="65000"/>
    <n v="8385000"/>
  </r>
  <r>
    <x v="285"/>
    <s v="INV00580"/>
    <x v="3"/>
    <x v="25"/>
    <x v="5"/>
    <x v="1"/>
    <n v="129"/>
    <n v="65000"/>
    <n v="8385000"/>
  </r>
  <r>
    <x v="103"/>
    <s v="INV00613"/>
    <x v="1"/>
    <x v="46"/>
    <x v="3"/>
    <x v="2"/>
    <n v="129"/>
    <n v="75000"/>
    <n v="9675000"/>
  </r>
  <r>
    <x v="252"/>
    <s v="INV00652"/>
    <x v="0"/>
    <x v="18"/>
    <x v="4"/>
    <x v="3"/>
    <n v="129"/>
    <n v="55000"/>
    <n v="7095000"/>
  </r>
  <r>
    <x v="149"/>
    <s v="INV00685"/>
    <x v="2"/>
    <x v="46"/>
    <x v="3"/>
    <x v="1"/>
    <n v="129"/>
    <n v="120000"/>
    <n v="15480000"/>
  </r>
  <r>
    <x v="312"/>
    <s v="INV00741"/>
    <x v="0"/>
    <x v="29"/>
    <x v="3"/>
    <x v="1"/>
    <n v="129"/>
    <n v="55000"/>
    <n v="7095000"/>
  </r>
  <r>
    <x v="84"/>
    <s v="INV00880"/>
    <x v="2"/>
    <x v="11"/>
    <x v="1"/>
    <x v="2"/>
    <n v="129"/>
    <n v="120000"/>
    <n v="15480000"/>
  </r>
  <r>
    <x v="44"/>
    <s v="INV00642"/>
    <x v="2"/>
    <x v="35"/>
    <x v="3"/>
    <x v="0"/>
    <n v="130"/>
    <n v="120000"/>
    <n v="15600000"/>
  </r>
  <r>
    <x v="276"/>
    <s v="INV00777"/>
    <x v="3"/>
    <x v="41"/>
    <x v="1"/>
    <x v="0"/>
    <n v="130"/>
    <n v="65000"/>
    <n v="8450000"/>
  </r>
  <r>
    <x v="274"/>
    <s v="INV00885"/>
    <x v="0"/>
    <x v="4"/>
    <x v="3"/>
    <x v="4"/>
    <n v="130"/>
    <n v="55000"/>
    <n v="7150000"/>
  </r>
  <r>
    <x v="30"/>
    <s v="INV01081"/>
    <x v="3"/>
    <x v="20"/>
    <x v="5"/>
    <x v="2"/>
    <n v="130"/>
    <n v="65000"/>
    <n v="8450000"/>
  </r>
  <r>
    <x v="228"/>
    <s v="INV00098"/>
    <x v="0"/>
    <x v="46"/>
    <x v="3"/>
    <x v="3"/>
    <n v="131"/>
    <n v="55000"/>
    <n v="7205000"/>
  </r>
  <r>
    <x v="49"/>
    <s v="INV00370"/>
    <x v="2"/>
    <x v="47"/>
    <x v="3"/>
    <x v="1"/>
    <n v="131"/>
    <n v="120000"/>
    <n v="15720000"/>
  </r>
  <r>
    <x v="99"/>
    <s v="INV00509"/>
    <x v="3"/>
    <x v="47"/>
    <x v="3"/>
    <x v="2"/>
    <n v="131"/>
    <n v="65000"/>
    <n v="8515000"/>
  </r>
  <r>
    <x v="22"/>
    <s v="INV00814"/>
    <x v="3"/>
    <x v="27"/>
    <x v="2"/>
    <x v="4"/>
    <n v="131"/>
    <n v="65000"/>
    <n v="8515000"/>
  </r>
  <r>
    <x v="134"/>
    <s v="INV00843"/>
    <x v="2"/>
    <x v="44"/>
    <x v="4"/>
    <x v="2"/>
    <n v="131"/>
    <n v="120000"/>
    <n v="15720000"/>
  </r>
  <r>
    <x v="61"/>
    <s v="INV00924"/>
    <x v="3"/>
    <x v="33"/>
    <x v="7"/>
    <x v="4"/>
    <n v="131"/>
    <n v="65000"/>
    <n v="8515000"/>
  </r>
  <r>
    <x v="133"/>
    <s v="INV00070"/>
    <x v="0"/>
    <x v="36"/>
    <x v="7"/>
    <x v="1"/>
    <n v="132"/>
    <n v="55000"/>
    <n v="7260000"/>
  </r>
  <r>
    <x v="231"/>
    <s v="INV00130"/>
    <x v="3"/>
    <x v="42"/>
    <x v="0"/>
    <x v="2"/>
    <n v="132"/>
    <n v="65000"/>
    <n v="8580000"/>
  </r>
  <r>
    <x v="313"/>
    <s v="INV00222"/>
    <x v="2"/>
    <x v="48"/>
    <x v="4"/>
    <x v="3"/>
    <n v="132"/>
    <n v="120000"/>
    <n v="15840000"/>
  </r>
  <r>
    <x v="314"/>
    <s v="INV00233"/>
    <x v="0"/>
    <x v="6"/>
    <x v="5"/>
    <x v="4"/>
    <n v="132"/>
    <n v="55000"/>
    <n v="7260000"/>
  </r>
  <r>
    <x v="85"/>
    <s v="INV00264"/>
    <x v="0"/>
    <x v="26"/>
    <x v="0"/>
    <x v="2"/>
    <n v="132"/>
    <n v="55000"/>
    <n v="7260000"/>
  </r>
  <r>
    <x v="224"/>
    <s v="INV00455"/>
    <x v="0"/>
    <x v="28"/>
    <x v="3"/>
    <x v="4"/>
    <n v="132"/>
    <n v="55000"/>
    <n v="7260000"/>
  </r>
  <r>
    <x v="107"/>
    <s v="INV00574"/>
    <x v="1"/>
    <x v="17"/>
    <x v="0"/>
    <x v="4"/>
    <n v="132"/>
    <n v="75000"/>
    <n v="9900000"/>
  </r>
  <r>
    <x v="28"/>
    <s v="INV00639"/>
    <x v="3"/>
    <x v="39"/>
    <x v="4"/>
    <x v="2"/>
    <n v="132"/>
    <n v="65000"/>
    <n v="8580000"/>
  </r>
  <r>
    <x v="18"/>
    <s v="INV00650"/>
    <x v="3"/>
    <x v="29"/>
    <x v="3"/>
    <x v="4"/>
    <n v="132"/>
    <n v="65000"/>
    <n v="8580000"/>
  </r>
  <r>
    <x v="80"/>
    <s v="INV00745"/>
    <x v="1"/>
    <x v="17"/>
    <x v="0"/>
    <x v="4"/>
    <n v="132"/>
    <n v="75000"/>
    <n v="9900000"/>
  </r>
  <r>
    <x v="152"/>
    <s v="INV00810"/>
    <x v="1"/>
    <x v="10"/>
    <x v="0"/>
    <x v="0"/>
    <n v="132"/>
    <n v="75000"/>
    <n v="9900000"/>
  </r>
  <r>
    <x v="46"/>
    <s v="INV00875"/>
    <x v="1"/>
    <x v="32"/>
    <x v="4"/>
    <x v="3"/>
    <n v="132"/>
    <n v="75000"/>
    <n v="9900000"/>
  </r>
  <r>
    <x v="94"/>
    <s v="INV00931"/>
    <x v="1"/>
    <x v="35"/>
    <x v="3"/>
    <x v="0"/>
    <n v="132"/>
    <n v="75000"/>
    <n v="9900000"/>
  </r>
  <r>
    <x v="168"/>
    <s v="INV00996"/>
    <x v="3"/>
    <x v="28"/>
    <x v="3"/>
    <x v="4"/>
    <n v="132"/>
    <n v="65000"/>
    <n v="8580000"/>
  </r>
  <r>
    <x v="283"/>
    <s v="INV00089"/>
    <x v="1"/>
    <x v="30"/>
    <x v="2"/>
    <x v="2"/>
    <n v="133"/>
    <n v="75000"/>
    <n v="9975000"/>
  </r>
  <r>
    <x v="62"/>
    <s v="INV00350"/>
    <x v="2"/>
    <x v="19"/>
    <x v="6"/>
    <x v="3"/>
    <n v="133"/>
    <n v="120000"/>
    <n v="15960000"/>
  </r>
  <r>
    <x v="10"/>
    <s v="INV00357"/>
    <x v="1"/>
    <x v="6"/>
    <x v="5"/>
    <x v="1"/>
    <n v="133"/>
    <n v="75000"/>
    <n v="9975000"/>
  </r>
  <r>
    <x v="177"/>
    <s v="INV00418"/>
    <x v="2"/>
    <x v="7"/>
    <x v="6"/>
    <x v="4"/>
    <n v="133"/>
    <n v="120000"/>
    <n v="15960000"/>
  </r>
  <r>
    <x v="139"/>
    <s v="INV00448"/>
    <x v="3"/>
    <x v="35"/>
    <x v="3"/>
    <x v="1"/>
    <n v="133"/>
    <n v="65000"/>
    <n v="8645000"/>
  </r>
  <r>
    <x v="54"/>
    <s v="INV00530"/>
    <x v="1"/>
    <x v="31"/>
    <x v="2"/>
    <x v="3"/>
    <n v="133"/>
    <n v="75000"/>
    <n v="9975000"/>
  </r>
  <r>
    <x v="103"/>
    <s v="INV00551"/>
    <x v="2"/>
    <x v="6"/>
    <x v="5"/>
    <x v="1"/>
    <n v="133"/>
    <n v="120000"/>
    <n v="15960000"/>
  </r>
  <r>
    <x v="315"/>
    <s v="INV00696"/>
    <x v="0"/>
    <x v="34"/>
    <x v="0"/>
    <x v="4"/>
    <n v="133"/>
    <n v="55000"/>
    <n v="7315000"/>
  </r>
  <r>
    <x v="316"/>
    <s v="INV01192"/>
    <x v="2"/>
    <x v="34"/>
    <x v="0"/>
    <x v="4"/>
    <n v="133"/>
    <n v="120000"/>
    <n v="15960000"/>
  </r>
  <r>
    <x v="168"/>
    <s v="INV00054"/>
    <x v="1"/>
    <x v="8"/>
    <x v="2"/>
    <x v="4"/>
    <n v="134"/>
    <n v="75000"/>
    <n v="10050000"/>
  </r>
  <r>
    <x v="94"/>
    <s v="INV00129"/>
    <x v="1"/>
    <x v="15"/>
    <x v="3"/>
    <x v="0"/>
    <n v="134"/>
    <n v="75000"/>
    <n v="10050000"/>
  </r>
  <r>
    <x v="206"/>
    <s v="INV00529"/>
    <x v="3"/>
    <x v="6"/>
    <x v="5"/>
    <x v="1"/>
    <n v="134"/>
    <n v="65000"/>
    <n v="8710000"/>
  </r>
  <r>
    <x v="48"/>
    <s v="INV00536"/>
    <x v="2"/>
    <x v="7"/>
    <x v="6"/>
    <x v="4"/>
    <n v="134"/>
    <n v="120000"/>
    <n v="16080000"/>
  </r>
  <r>
    <x v="40"/>
    <s v="INV01165"/>
    <x v="2"/>
    <x v="22"/>
    <x v="0"/>
    <x v="4"/>
    <n v="134"/>
    <n v="120000"/>
    <n v="16080000"/>
  </r>
  <r>
    <x v="25"/>
    <s v="INV00032"/>
    <x v="2"/>
    <x v="16"/>
    <x v="3"/>
    <x v="4"/>
    <n v="135"/>
    <n v="120000"/>
    <n v="16200000"/>
  </r>
  <r>
    <x v="251"/>
    <s v="INV00040"/>
    <x v="2"/>
    <x v="30"/>
    <x v="2"/>
    <x v="2"/>
    <n v="135"/>
    <n v="120000"/>
    <n v="16200000"/>
  </r>
  <r>
    <x v="210"/>
    <s v="INV00080"/>
    <x v="3"/>
    <x v="32"/>
    <x v="4"/>
    <x v="4"/>
    <n v="135"/>
    <n v="65000"/>
    <n v="8775000"/>
  </r>
  <r>
    <x v="192"/>
    <s v="INV00275"/>
    <x v="3"/>
    <x v="27"/>
    <x v="2"/>
    <x v="2"/>
    <n v="135"/>
    <n v="65000"/>
    <n v="8775000"/>
  </r>
  <r>
    <x v="73"/>
    <s v="INV01049"/>
    <x v="0"/>
    <x v="10"/>
    <x v="0"/>
    <x v="1"/>
    <n v="135"/>
    <n v="55000"/>
    <n v="7425000"/>
  </r>
  <r>
    <x v="309"/>
    <s v="INV01164"/>
    <x v="3"/>
    <x v="35"/>
    <x v="3"/>
    <x v="3"/>
    <n v="135"/>
    <n v="65000"/>
    <n v="8775000"/>
  </r>
  <r>
    <x v="299"/>
    <s v="INV00314"/>
    <x v="2"/>
    <x v="35"/>
    <x v="3"/>
    <x v="0"/>
    <n v="136"/>
    <n v="120000"/>
    <n v="16320000"/>
  </r>
  <r>
    <x v="122"/>
    <s v="INV00558"/>
    <x v="0"/>
    <x v="15"/>
    <x v="3"/>
    <x v="2"/>
    <n v="136"/>
    <n v="55000"/>
    <n v="7480000"/>
  </r>
  <r>
    <x v="52"/>
    <s v="INV01122"/>
    <x v="2"/>
    <x v="24"/>
    <x v="6"/>
    <x v="0"/>
    <n v="136"/>
    <n v="120000"/>
    <n v="16320000"/>
  </r>
  <r>
    <x v="162"/>
    <s v="INV00111"/>
    <x v="3"/>
    <x v="7"/>
    <x v="6"/>
    <x v="2"/>
    <n v="137"/>
    <n v="65000"/>
    <n v="8905000"/>
  </r>
  <r>
    <x v="104"/>
    <s v="INV00121"/>
    <x v="0"/>
    <x v="23"/>
    <x v="1"/>
    <x v="4"/>
    <n v="137"/>
    <n v="55000"/>
    <n v="7535000"/>
  </r>
  <r>
    <x v="230"/>
    <s v="INV00134"/>
    <x v="2"/>
    <x v="32"/>
    <x v="4"/>
    <x v="1"/>
    <n v="137"/>
    <n v="120000"/>
    <n v="16440000"/>
  </r>
  <r>
    <x v="2"/>
    <s v="INV00754"/>
    <x v="3"/>
    <x v="38"/>
    <x v="4"/>
    <x v="1"/>
    <n v="137"/>
    <n v="65000"/>
    <n v="8905000"/>
  </r>
  <r>
    <x v="242"/>
    <s v="INV00772"/>
    <x v="0"/>
    <x v="46"/>
    <x v="3"/>
    <x v="0"/>
    <n v="137"/>
    <n v="55000"/>
    <n v="7535000"/>
  </r>
  <r>
    <x v="317"/>
    <s v="INV01087"/>
    <x v="3"/>
    <x v="39"/>
    <x v="4"/>
    <x v="2"/>
    <n v="137"/>
    <n v="65000"/>
    <n v="8905000"/>
  </r>
  <r>
    <x v="149"/>
    <s v="INV00119"/>
    <x v="1"/>
    <x v="35"/>
    <x v="3"/>
    <x v="4"/>
    <n v="138"/>
    <n v="75000"/>
    <n v="10350000"/>
  </r>
  <r>
    <x v="317"/>
    <s v="INV00337"/>
    <x v="1"/>
    <x v="18"/>
    <x v="4"/>
    <x v="3"/>
    <n v="138"/>
    <n v="75000"/>
    <n v="10350000"/>
  </r>
  <r>
    <x v="59"/>
    <s v="INV00626"/>
    <x v="3"/>
    <x v="31"/>
    <x v="2"/>
    <x v="4"/>
    <n v="138"/>
    <n v="65000"/>
    <n v="8970000"/>
  </r>
  <r>
    <x v="257"/>
    <s v="INV00735"/>
    <x v="2"/>
    <x v="39"/>
    <x v="4"/>
    <x v="3"/>
    <n v="138"/>
    <n v="120000"/>
    <n v="16560000"/>
  </r>
  <r>
    <x v="318"/>
    <s v="INV00865"/>
    <x v="2"/>
    <x v="8"/>
    <x v="2"/>
    <x v="4"/>
    <n v="138"/>
    <n v="120000"/>
    <n v="16560000"/>
  </r>
  <r>
    <x v="46"/>
    <s v="INV00869"/>
    <x v="2"/>
    <x v="21"/>
    <x v="4"/>
    <x v="3"/>
    <n v="138"/>
    <n v="120000"/>
    <n v="16560000"/>
  </r>
  <r>
    <x v="144"/>
    <s v="INV00891"/>
    <x v="0"/>
    <x v="49"/>
    <x v="7"/>
    <x v="0"/>
    <n v="138"/>
    <n v="55000"/>
    <n v="7590000"/>
  </r>
  <r>
    <x v="237"/>
    <s v="INV00902"/>
    <x v="3"/>
    <x v="15"/>
    <x v="3"/>
    <x v="2"/>
    <n v="138"/>
    <n v="65000"/>
    <n v="8970000"/>
  </r>
  <r>
    <x v="319"/>
    <s v="INV00971"/>
    <x v="1"/>
    <x v="34"/>
    <x v="0"/>
    <x v="0"/>
    <n v="138"/>
    <n v="75000"/>
    <n v="10350000"/>
  </r>
  <r>
    <x v="252"/>
    <s v="INV00281"/>
    <x v="0"/>
    <x v="46"/>
    <x v="3"/>
    <x v="1"/>
    <n v="139"/>
    <n v="55000"/>
    <n v="7645000"/>
  </r>
  <r>
    <x v="171"/>
    <s v="INV00393"/>
    <x v="3"/>
    <x v="40"/>
    <x v="5"/>
    <x v="2"/>
    <n v="139"/>
    <n v="65000"/>
    <n v="9035000"/>
  </r>
  <r>
    <x v="158"/>
    <s v="INV00480"/>
    <x v="2"/>
    <x v="38"/>
    <x v="4"/>
    <x v="1"/>
    <n v="139"/>
    <n v="120000"/>
    <n v="16680000"/>
  </r>
  <r>
    <x v="170"/>
    <s v="INV00562"/>
    <x v="1"/>
    <x v="24"/>
    <x v="6"/>
    <x v="2"/>
    <n v="139"/>
    <n v="75000"/>
    <n v="10425000"/>
  </r>
  <r>
    <x v="311"/>
    <s v="INV00710"/>
    <x v="1"/>
    <x v="27"/>
    <x v="2"/>
    <x v="1"/>
    <n v="139"/>
    <n v="75000"/>
    <n v="10425000"/>
  </r>
  <r>
    <x v="66"/>
    <s v="INV00864"/>
    <x v="2"/>
    <x v="23"/>
    <x v="1"/>
    <x v="0"/>
    <n v="139"/>
    <n v="120000"/>
    <n v="16680000"/>
  </r>
  <r>
    <x v="320"/>
    <s v="INV00873"/>
    <x v="1"/>
    <x v="43"/>
    <x v="7"/>
    <x v="0"/>
    <n v="139"/>
    <n v="75000"/>
    <n v="10425000"/>
  </r>
  <r>
    <x v="17"/>
    <s v="INV00928"/>
    <x v="2"/>
    <x v="28"/>
    <x v="3"/>
    <x v="3"/>
    <n v="139"/>
    <n v="120000"/>
    <n v="16680000"/>
  </r>
  <r>
    <x v="113"/>
    <s v="INV01043"/>
    <x v="1"/>
    <x v="7"/>
    <x v="6"/>
    <x v="4"/>
    <n v="139"/>
    <n v="75000"/>
    <n v="10425000"/>
  </r>
  <r>
    <x v="289"/>
    <s v="INV01079"/>
    <x v="1"/>
    <x v="33"/>
    <x v="7"/>
    <x v="2"/>
    <n v="139"/>
    <n v="75000"/>
    <n v="10425000"/>
  </r>
  <r>
    <x v="263"/>
    <s v="INV01176"/>
    <x v="3"/>
    <x v="20"/>
    <x v="5"/>
    <x v="4"/>
    <n v="139"/>
    <n v="65000"/>
    <n v="9035000"/>
  </r>
  <r>
    <x v="110"/>
    <s v="INV00751"/>
    <x v="3"/>
    <x v="30"/>
    <x v="2"/>
    <x v="2"/>
    <n v="140"/>
    <n v="65000"/>
    <n v="9100000"/>
  </r>
  <r>
    <x v="304"/>
    <s v="INV00757"/>
    <x v="1"/>
    <x v="16"/>
    <x v="3"/>
    <x v="2"/>
    <n v="140"/>
    <n v="75000"/>
    <n v="10500000"/>
  </r>
  <r>
    <x v="268"/>
    <s v="INV00867"/>
    <x v="0"/>
    <x v="0"/>
    <x v="0"/>
    <x v="1"/>
    <n v="140"/>
    <n v="55000"/>
    <n v="7700000"/>
  </r>
  <r>
    <x v="16"/>
    <s v="INV00911"/>
    <x v="1"/>
    <x v="38"/>
    <x v="4"/>
    <x v="2"/>
    <n v="140"/>
    <n v="75000"/>
    <n v="10500000"/>
  </r>
  <r>
    <x v="209"/>
    <s v="INV01061"/>
    <x v="3"/>
    <x v="45"/>
    <x v="6"/>
    <x v="3"/>
    <n v="140"/>
    <n v="65000"/>
    <n v="9100000"/>
  </r>
  <r>
    <x v="261"/>
    <s v="INV01063"/>
    <x v="3"/>
    <x v="37"/>
    <x v="0"/>
    <x v="4"/>
    <n v="140"/>
    <n v="65000"/>
    <n v="9100000"/>
  </r>
  <r>
    <x v="160"/>
    <s v="INV01140"/>
    <x v="2"/>
    <x v="1"/>
    <x v="1"/>
    <x v="1"/>
    <n v="140"/>
    <n v="120000"/>
    <n v="16800000"/>
  </r>
  <r>
    <x v="253"/>
    <s v="INV00012"/>
    <x v="1"/>
    <x v="43"/>
    <x v="7"/>
    <x v="2"/>
    <n v="141"/>
    <n v="75000"/>
    <n v="10575000"/>
  </r>
  <r>
    <x v="226"/>
    <s v="INV00161"/>
    <x v="3"/>
    <x v="47"/>
    <x v="3"/>
    <x v="1"/>
    <n v="141"/>
    <n v="65000"/>
    <n v="9165000"/>
  </r>
  <r>
    <x v="321"/>
    <s v="INV00454"/>
    <x v="0"/>
    <x v="33"/>
    <x v="7"/>
    <x v="1"/>
    <n v="141"/>
    <n v="55000"/>
    <n v="7755000"/>
  </r>
  <r>
    <x v="51"/>
    <s v="INV00806"/>
    <x v="1"/>
    <x v="46"/>
    <x v="3"/>
    <x v="0"/>
    <n v="141"/>
    <n v="75000"/>
    <n v="10575000"/>
  </r>
  <r>
    <x v="181"/>
    <s v="INV01173"/>
    <x v="1"/>
    <x v="17"/>
    <x v="0"/>
    <x v="2"/>
    <n v="141"/>
    <n v="75000"/>
    <n v="10575000"/>
  </r>
  <r>
    <x v="110"/>
    <s v="INV00114"/>
    <x v="0"/>
    <x v="19"/>
    <x v="6"/>
    <x v="1"/>
    <n v="142"/>
    <n v="55000"/>
    <n v="7810000"/>
  </r>
  <r>
    <x v="117"/>
    <s v="INV00126"/>
    <x v="1"/>
    <x v="1"/>
    <x v="1"/>
    <x v="1"/>
    <n v="142"/>
    <n v="75000"/>
    <n v="10650000"/>
  </r>
  <r>
    <x v="225"/>
    <s v="INV00428"/>
    <x v="0"/>
    <x v="3"/>
    <x v="2"/>
    <x v="0"/>
    <n v="142"/>
    <n v="55000"/>
    <n v="7810000"/>
  </r>
  <r>
    <x v="168"/>
    <s v="INV00664"/>
    <x v="1"/>
    <x v="7"/>
    <x v="6"/>
    <x v="1"/>
    <n v="142"/>
    <n v="75000"/>
    <n v="10650000"/>
  </r>
  <r>
    <x v="156"/>
    <s v="INV00927"/>
    <x v="3"/>
    <x v="28"/>
    <x v="3"/>
    <x v="1"/>
    <n v="142"/>
    <n v="65000"/>
    <n v="9230000"/>
  </r>
  <r>
    <x v="149"/>
    <s v="INV00576"/>
    <x v="1"/>
    <x v="34"/>
    <x v="0"/>
    <x v="2"/>
    <n v="143"/>
    <n v="75000"/>
    <n v="10725000"/>
  </r>
  <r>
    <x v="208"/>
    <s v="INV01086"/>
    <x v="3"/>
    <x v="37"/>
    <x v="0"/>
    <x v="3"/>
    <n v="143"/>
    <n v="65000"/>
    <n v="9295000"/>
  </r>
  <r>
    <x v="322"/>
    <s v="INV00079"/>
    <x v="2"/>
    <x v="31"/>
    <x v="2"/>
    <x v="1"/>
    <n v="144"/>
    <n v="120000"/>
    <n v="17280000"/>
  </r>
  <r>
    <x v="106"/>
    <s v="INV00424"/>
    <x v="0"/>
    <x v="44"/>
    <x v="4"/>
    <x v="2"/>
    <n v="144"/>
    <n v="55000"/>
    <n v="7920000"/>
  </r>
  <r>
    <x v="307"/>
    <s v="INV00507"/>
    <x v="1"/>
    <x v="20"/>
    <x v="5"/>
    <x v="2"/>
    <n v="144"/>
    <n v="75000"/>
    <n v="10800000"/>
  </r>
  <r>
    <x v="160"/>
    <s v="INV00736"/>
    <x v="2"/>
    <x v="12"/>
    <x v="2"/>
    <x v="1"/>
    <n v="144"/>
    <n v="120000"/>
    <n v="17280000"/>
  </r>
  <r>
    <x v="105"/>
    <s v="INV00755"/>
    <x v="3"/>
    <x v="0"/>
    <x v="0"/>
    <x v="2"/>
    <n v="144"/>
    <n v="65000"/>
    <n v="9360000"/>
  </r>
  <r>
    <x v="192"/>
    <s v="INV00071"/>
    <x v="0"/>
    <x v="28"/>
    <x v="3"/>
    <x v="2"/>
    <n v="145"/>
    <n v="55000"/>
    <n v="7975000"/>
  </r>
  <r>
    <x v="293"/>
    <s v="INV00365"/>
    <x v="1"/>
    <x v="36"/>
    <x v="7"/>
    <x v="3"/>
    <n v="145"/>
    <n v="75000"/>
    <n v="10875000"/>
  </r>
  <r>
    <x v="243"/>
    <s v="INV00379"/>
    <x v="2"/>
    <x v="0"/>
    <x v="0"/>
    <x v="0"/>
    <n v="145"/>
    <n v="120000"/>
    <n v="17400000"/>
  </r>
  <r>
    <x v="117"/>
    <s v="INV00808"/>
    <x v="3"/>
    <x v="49"/>
    <x v="7"/>
    <x v="4"/>
    <n v="145"/>
    <n v="65000"/>
    <n v="9425000"/>
  </r>
  <r>
    <x v="296"/>
    <s v="INV00946"/>
    <x v="0"/>
    <x v="3"/>
    <x v="2"/>
    <x v="3"/>
    <n v="145"/>
    <n v="55000"/>
    <n v="7975000"/>
  </r>
  <r>
    <x v="249"/>
    <s v="INV00964"/>
    <x v="1"/>
    <x v="0"/>
    <x v="0"/>
    <x v="1"/>
    <n v="145"/>
    <n v="75000"/>
    <n v="10875000"/>
  </r>
  <r>
    <x v="306"/>
    <s v="INV01017"/>
    <x v="1"/>
    <x v="8"/>
    <x v="2"/>
    <x v="4"/>
    <n v="145"/>
    <n v="75000"/>
    <n v="10875000"/>
  </r>
  <r>
    <x v="153"/>
    <s v="INV00025"/>
    <x v="1"/>
    <x v="10"/>
    <x v="0"/>
    <x v="4"/>
    <n v="146"/>
    <n v="75000"/>
    <n v="10950000"/>
  </r>
  <r>
    <x v="73"/>
    <s v="INV00204"/>
    <x v="2"/>
    <x v="46"/>
    <x v="3"/>
    <x v="4"/>
    <n v="146"/>
    <n v="120000"/>
    <n v="17520000"/>
  </r>
  <r>
    <x v="234"/>
    <s v="INV00548"/>
    <x v="2"/>
    <x v="3"/>
    <x v="2"/>
    <x v="0"/>
    <n v="146"/>
    <n v="120000"/>
    <n v="17520000"/>
  </r>
  <r>
    <x v="72"/>
    <s v="INV00657"/>
    <x v="3"/>
    <x v="0"/>
    <x v="0"/>
    <x v="2"/>
    <n v="146"/>
    <n v="65000"/>
    <n v="9490000"/>
  </r>
  <r>
    <x v="323"/>
    <s v="INV00695"/>
    <x v="0"/>
    <x v="37"/>
    <x v="0"/>
    <x v="0"/>
    <n v="146"/>
    <n v="55000"/>
    <n v="8030000"/>
  </r>
  <r>
    <x v="155"/>
    <s v="INV00156"/>
    <x v="1"/>
    <x v="33"/>
    <x v="7"/>
    <x v="3"/>
    <n v="147"/>
    <n v="75000"/>
    <n v="11025000"/>
  </r>
  <r>
    <x v="118"/>
    <s v="INV00211"/>
    <x v="3"/>
    <x v="7"/>
    <x v="6"/>
    <x v="2"/>
    <n v="147"/>
    <n v="65000"/>
    <n v="9555000"/>
  </r>
  <r>
    <x v="308"/>
    <s v="INV00280"/>
    <x v="0"/>
    <x v="9"/>
    <x v="6"/>
    <x v="4"/>
    <n v="147"/>
    <n v="55000"/>
    <n v="8085000"/>
  </r>
  <r>
    <x v="200"/>
    <s v="INV00413"/>
    <x v="2"/>
    <x v="30"/>
    <x v="2"/>
    <x v="0"/>
    <n v="147"/>
    <n v="120000"/>
    <n v="17640000"/>
  </r>
  <r>
    <x v="265"/>
    <s v="INV00717"/>
    <x v="2"/>
    <x v="17"/>
    <x v="0"/>
    <x v="3"/>
    <n v="147"/>
    <n v="120000"/>
    <n v="17640000"/>
  </r>
  <r>
    <x v="174"/>
    <s v="INV00816"/>
    <x v="0"/>
    <x v="6"/>
    <x v="5"/>
    <x v="1"/>
    <n v="147"/>
    <n v="55000"/>
    <n v="8085000"/>
  </r>
  <r>
    <x v="117"/>
    <s v="INV00884"/>
    <x v="0"/>
    <x v="0"/>
    <x v="0"/>
    <x v="4"/>
    <n v="147"/>
    <n v="55000"/>
    <n v="8085000"/>
  </r>
  <r>
    <x v="184"/>
    <s v="INV00921"/>
    <x v="3"/>
    <x v="35"/>
    <x v="3"/>
    <x v="1"/>
    <n v="147"/>
    <n v="65000"/>
    <n v="9555000"/>
  </r>
  <r>
    <x v="3"/>
    <s v="INV00177"/>
    <x v="2"/>
    <x v="11"/>
    <x v="1"/>
    <x v="0"/>
    <n v="148"/>
    <n v="120000"/>
    <n v="17760000"/>
  </r>
  <r>
    <x v="67"/>
    <s v="INV00322"/>
    <x v="1"/>
    <x v="11"/>
    <x v="1"/>
    <x v="0"/>
    <n v="148"/>
    <n v="75000"/>
    <n v="11100000"/>
  </r>
  <r>
    <x v="215"/>
    <s v="INV00449"/>
    <x v="0"/>
    <x v="27"/>
    <x v="2"/>
    <x v="0"/>
    <n v="148"/>
    <n v="55000"/>
    <n v="8140000"/>
  </r>
  <r>
    <x v="131"/>
    <s v="INV00907"/>
    <x v="3"/>
    <x v="44"/>
    <x v="4"/>
    <x v="2"/>
    <n v="148"/>
    <n v="65000"/>
    <n v="9620000"/>
  </r>
  <r>
    <x v="31"/>
    <s v="INV01100"/>
    <x v="0"/>
    <x v="42"/>
    <x v="0"/>
    <x v="4"/>
    <n v="148"/>
    <n v="55000"/>
    <n v="8140000"/>
  </r>
  <r>
    <x v="324"/>
    <s v="INV00321"/>
    <x v="0"/>
    <x v="41"/>
    <x v="1"/>
    <x v="3"/>
    <n v="149"/>
    <n v="55000"/>
    <n v="8195000"/>
  </r>
  <r>
    <x v="73"/>
    <s v="INV00074"/>
    <x v="3"/>
    <x v="21"/>
    <x v="4"/>
    <x v="0"/>
    <n v="150"/>
    <n v="65000"/>
    <n v="9750000"/>
  </r>
  <r>
    <x v="287"/>
    <s v="INV00522"/>
    <x v="2"/>
    <x v="8"/>
    <x v="2"/>
    <x v="1"/>
    <n v="150"/>
    <n v="120000"/>
    <n v="18000000"/>
  </r>
  <r>
    <x v="325"/>
    <s v="INV00830"/>
    <x v="3"/>
    <x v="15"/>
    <x v="3"/>
    <x v="0"/>
    <n v="150"/>
    <n v="65000"/>
    <n v="9750000"/>
  </r>
  <r>
    <x v="161"/>
    <s v="INV00894"/>
    <x v="0"/>
    <x v="13"/>
    <x v="1"/>
    <x v="2"/>
    <n v="150"/>
    <n v="55000"/>
    <n v="8250000"/>
  </r>
  <r>
    <x v="326"/>
    <s v="INV00947"/>
    <x v="1"/>
    <x v="26"/>
    <x v="0"/>
    <x v="3"/>
    <n v="150"/>
    <n v="75000"/>
    <n v="11250000"/>
  </r>
  <r>
    <x v="53"/>
    <s v="INV01082"/>
    <x v="0"/>
    <x v="28"/>
    <x v="3"/>
    <x v="0"/>
    <n v="150"/>
    <n v="55000"/>
    <n v="8250000"/>
  </r>
  <r>
    <x v="131"/>
    <s v="INV00434"/>
    <x v="3"/>
    <x v="18"/>
    <x v="4"/>
    <x v="0"/>
    <n v="151"/>
    <n v="65000"/>
    <n v="9815000"/>
  </r>
  <r>
    <x v="281"/>
    <s v="INV00557"/>
    <x v="2"/>
    <x v="15"/>
    <x v="3"/>
    <x v="4"/>
    <n v="151"/>
    <n v="120000"/>
    <n v="18120000"/>
  </r>
  <r>
    <x v="31"/>
    <s v="INV00780"/>
    <x v="1"/>
    <x v="43"/>
    <x v="7"/>
    <x v="1"/>
    <n v="151"/>
    <n v="75000"/>
    <n v="11325000"/>
  </r>
  <r>
    <x v="301"/>
    <s v="INV00795"/>
    <x v="0"/>
    <x v="38"/>
    <x v="4"/>
    <x v="3"/>
    <n v="151"/>
    <n v="55000"/>
    <n v="8305000"/>
  </r>
  <r>
    <x v="327"/>
    <s v="INV00127"/>
    <x v="0"/>
    <x v="35"/>
    <x v="3"/>
    <x v="2"/>
    <n v="152"/>
    <n v="55000"/>
    <n v="8360000"/>
  </r>
  <r>
    <x v="165"/>
    <s v="INV00494"/>
    <x v="2"/>
    <x v="6"/>
    <x v="5"/>
    <x v="2"/>
    <n v="152"/>
    <n v="120000"/>
    <n v="18240000"/>
  </r>
  <r>
    <x v="165"/>
    <s v="INV00640"/>
    <x v="3"/>
    <x v="25"/>
    <x v="5"/>
    <x v="0"/>
    <n v="152"/>
    <n v="65000"/>
    <n v="9880000"/>
  </r>
  <r>
    <x v="69"/>
    <s v="INV00718"/>
    <x v="1"/>
    <x v="46"/>
    <x v="3"/>
    <x v="2"/>
    <n v="152"/>
    <n v="75000"/>
    <n v="11400000"/>
  </r>
  <r>
    <x v="328"/>
    <s v="INV01141"/>
    <x v="0"/>
    <x v="25"/>
    <x v="5"/>
    <x v="3"/>
    <n v="152"/>
    <n v="55000"/>
    <n v="8360000"/>
  </r>
  <r>
    <x v="93"/>
    <s v="INV01167"/>
    <x v="0"/>
    <x v="11"/>
    <x v="1"/>
    <x v="1"/>
    <n v="152"/>
    <n v="55000"/>
    <n v="8360000"/>
  </r>
  <r>
    <x v="17"/>
    <s v="INV00093"/>
    <x v="1"/>
    <x v="4"/>
    <x v="3"/>
    <x v="4"/>
    <n v="153"/>
    <n v="75000"/>
    <n v="11475000"/>
  </r>
  <r>
    <x v="11"/>
    <s v="INV00331"/>
    <x v="2"/>
    <x v="1"/>
    <x v="1"/>
    <x v="2"/>
    <n v="153"/>
    <n v="120000"/>
    <n v="18360000"/>
  </r>
  <r>
    <x v="247"/>
    <s v="INV00371"/>
    <x v="0"/>
    <x v="12"/>
    <x v="2"/>
    <x v="0"/>
    <n v="153"/>
    <n v="55000"/>
    <n v="8415000"/>
  </r>
  <r>
    <x v="31"/>
    <s v="INV00479"/>
    <x v="3"/>
    <x v="26"/>
    <x v="0"/>
    <x v="0"/>
    <n v="153"/>
    <n v="65000"/>
    <n v="9945000"/>
  </r>
  <r>
    <x v="138"/>
    <s v="INV00766"/>
    <x v="3"/>
    <x v="5"/>
    <x v="4"/>
    <x v="0"/>
    <n v="153"/>
    <n v="65000"/>
    <n v="9945000"/>
  </r>
  <r>
    <x v="240"/>
    <s v="INV00834"/>
    <x v="3"/>
    <x v="27"/>
    <x v="2"/>
    <x v="2"/>
    <n v="153"/>
    <n v="65000"/>
    <n v="9945000"/>
  </r>
  <r>
    <x v="220"/>
    <s v="INV00933"/>
    <x v="0"/>
    <x v="7"/>
    <x v="6"/>
    <x v="3"/>
    <n v="153"/>
    <n v="55000"/>
    <n v="8415000"/>
  </r>
  <r>
    <x v="329"/>
    <s v="INV01129"/>
    <x v="3"/>
    <x v="42"/>
    <x v="0"/>
    <x v="0"/>
    <n v="153"/>
    <n v="65000"/>
    <n v="9945000"/>
  </r>
  <r>
    <x v="330"/>
    <s v="INV00003"/>
    <x v="2"/>
    <x v="4"/>
    <x v="3"/>
    <x v="2"/>
    <n v="154"/>
    <n v="120000"/>
    <n v="18480000"/>
  </r>
  <r>
    <x v="65"/>
    <s v="INV00220"/>
    <x v="1"/>
    <x v="48"/>
    <x v="4"/>
    <x v="4"/>
    <n v="154"/>
    <n v="75000"/>
    <n v="11550000"/>
  </r>
  <r>
    <x v="331"/>
    <s v="INV00262"/>
    <x v="2"/>
    <x v="24"/>
    <x v="6"/>
    <x v="4"/>
    <n v="154"/>
    <n v="120000"/>
    <n v="18480000"/>
  </r>
  <r>
    <x v="153"/>
    <s v="INV00672"/>
    <x v="2"/>
    <x v="10"/>
    <x v="0"/>
    <x v="3"/>
    <n v="154"/>
    <n v="120000"/>
    <n v="18480000"/>
  </r>
  <r>
    <x v="112"/>
    <s v="INV00781"/>
    <x v="3"/>
    <x v="15"/>
    <x v="3"/>
    <x v="3"/>
    <n v="154"/>
    <n v="65000"/>
    <n v="10010000"/>
  </r>
  <r>
    <x v="131"/>
    <s v="INV00900"/>
    <x v="0"/>
    <x v="48"/>
    <x v="4"/>
    <x v="0"/>
    <n v="154"/>
    <n v="55000"/>
    <n v="8470000"/>
  </r>
  <r>
    <x v="66"/>
    <s v="INV01136"/>
    <x v="2"/>
    <x v="1"/>
    <x v="1"/>
    <x v="4"/>
    <n v="154"/>
    <n v="120000"/>
    <n v="18480000"/>
  </r>
  <r>
    <x v="82"/>
    <s v="INV00245"/>
    <x v="0"/>
    <x v="35"/>
    <x v="3"/>
    <x v="1"/>
    <n v="155"/>
    <n v="55000"/>
    <n v="8525000"/>
  </r>
  <r>
    <x v="167"/>
    <s v="INV00402"/>
    <x v="1"/>
    <x v="6"/>
    <x v="5"/>
    <x v="0"/>
    <n v="155"/>
    <n v="75000"/>
    <n v="11625000"/>
  </r>
  <r>
    <x v="33"/>
    <s v="INV00514"/>
    <x v="2"/>
    <x v="3"/>
    <x v="2"/>
    <x v="4"/>
    <n v="155"/>
    <n v="120000"/>
    <n v="18600000"/>
  </r>
  <r>
    <x v="155"/>
    <s v="INV00526"/>
    <x v="2"/>
    <x v="42"/>
    <x v="0"/>
    <x v="4"/>
    <n v="155"/>
    <n v="120000"/>
    <n v="18600000"/>
  </r>
  <r>
    <x v="263"/>
    <s v="INV00666"/>
    <x v="2"/>
    <x v="0"/>
    <x v="0"/>
    <x v="2"/>
    <n v="155"/>
    <n v="120000"/>
    <n v="18600000"/>
  </r>
  <r>
    <x v="154"/>
    <s v="INV01073"/>
    <x v="0"/>
    <x v="3"/>
    <x v="2"/>
    <x v="1"/>
    <n v="155"/>
    <n v="55000"/>
    <n v="8525000"/>
  </r>
  <r>
    <x v="41"/>
    <s v="INV00068"/>
    <x v="3"/>
    <x v="1"/>
    <x v="1"/>
    <x v="1"/>
    <n v="156"/>
    <n v="65000"/>
    <n v="10140000"/>
  </r>
  <r>
    <x v="110"/>
    <s v="INV00103"/>
    <x v="0"/>
    <x v="34"/>
    <x v="0"/>
    <x v="4"/>
    <n v="156"/>
    <n v="55000"/>
    <n v="8580000"/>
  </r>
  <r>
    <x v="64"/>
    <s v="INV00261"/>
    <x v="1"/>
    <x v="4"/>
    <x v="3"/>
    <x v="3"/>
    <n v="156"/>
    <n v="75000"/>
    <n v="11700000"/>
  </r>
  <r>
    <x v="35"/>
    <s v="INV00340"/>
    <x v="1"/>
    <x v="16"/>
    <x v="3"/>
    <x v="2"/>
    <n v="156"/>
    <n v="75000"/>
    <n v="11700000"/>
  </r>
  <r>
    <x v="48"/>
    <s v="INV00356"/>
    <x v="3"/>
    <x v="20"/>
    <x v="5"/>
    <x v="4"/>
    <n v="156"/>
    <n v="65000"/>
    <n v="10140000"/>
  </r>
  <r>
    <x v="29"/>
    <s v="INV00516"/>
    <x v="2"/>
    <x v="47"/>
    <x v="3"/>
    <x v="0"/>
    <n v="156"/>
    <n v="120000"/>
    <n v="18720000"/>
  </r>
  <r>
    <x v="296"/>
    <s v="INV00709"/>
    <x v="0"/>
    <x v="19"/>
    <x v="6"/>
    <x v="2"/>
    <n v="156"/>
    <n v="55000"/>
    <n v="8580000"/>
  </r>
  <r>
    <x v="259"/>
    <s v="INV00912"/>
    <x v="0"/>
    <x v="34"/>
    <x v="0"/>
    <x v="2"/>
    <n v="156"/>
    <n v="55000"/>
    <n v="8580000"/>
  </r>
  <r>
    <x v="230"/>
    <s v="INV01068"/>
    <x v="2"/>
    <x v="36"/>
    <x v="7"/>
    <x v="0"/>
    <n v="156"/>
    <n v="120000"/>
    <n v="18720000"/>
  </r>
  <r>
    <x v="203"/>
    <s v="INV00113"/>
    <x v="0"/>
    <x v="12"/>
    <x v="2"/>
    <x v="0"/>
    <n v="157"/>
    <n v="55000"/>
    <n v="8635000"/>
  </r>
  <r>
    <x v="94"/>
    <s v="INV00229"/>
    <x v="2"/>
    <x v="20"/>
    <x v="5"/>
    <x v="0"/>
    <n v="157"/>
    <n v="120000"/>
    <n v="18840000"/>
  </r>
  <r>
    <x v="332"/>
    <s v="INV00481"/>
    <x v="0"/>
    <x v="29"/>
    <x v="3"/>
    <x v="4"/>
    <n v="157"/>
    <n v="55000"/>
    <n v="8635000"/>
  </r>
  <r>
    <x v="93"/>
    <s v="INV00595"/>
    <x v="1"/>
    <x v="26"/>
    <x v="0"/>
    <x v="0"/>
    <n v="157"/>
    <n v="75000"/>
    <n v="11775000"/>
  </r>
  <r>
    <x v="69"/>
    <s v="INV00746"/>
    <x v="2"/>
    <x v="8"/>
    <x v="2"/>
    <x v="3"/>
    <n v="157"/>
    <n v="120000"/>
    <n v="18840000"/>
  </r>
  <r>
    <x v="112"/>
    <s v="INV00953"/>
    <x v="3"/>
    <x v="45"/>
    <x v="6"/>
    <x v="0"/>
    <n v="157"/>
    <n v="65000"/>
    <n v="10205000"/>
  </r>
  <r>
    <x v="333"/>
    <s v="INV00181"/>
    <x v="0"/>
    <x v="22"/>
    <x v="0"/>
    <x v="1"/>
    <n v="158"/>
    <n v="55000"/>
    <n v="8690000"/>
  </r>
  <r>
    <x v="182"/>
    <s v="INV00298"/>
    <x v="3"/>
    <x v="47"/>
    <x v="3"/>
    <x v="4"/>
    <n v="158"/>
    <n v="65000"/>
    <n v="10270000"/>
  </r>
  <r>
    <x v="77"/>
    <s v="INV00307"/>
    <x v="0"/>
    <x v="27"/>
    <x v="2"/>
    <x v="4"/>
    <n v="158"/>
    <n v="55000"/>
    <n v="8690000"/>
  </r>
  <r>
    <x v="32"/>
    <s v="INV00332"/>
    <x v="1"/>
    <x v="17"/>
    <x v="0"/>
    <x v="3"/>
    <n v="158"/>
    <n v="75000"/>
    <n v="11850000"/>
  </r>
  <r>
    <x v="199"/>
    <s v="INV00768"/>
    <x v="3"/>
    <x v="15"/>
    <x v="3"/>
    <x v="4"/>
    <n v="158"/>
    <n v="65000"/>
    <n v="10270000"/>
  </r>
  <r>
    <x v="273"/>
    <s v="INV00985"/>
    <x v="3"/>
    <x v="21"/>
    <x v="4"/>
    <x v="0"/>
    <n v="158"/>
    <n v="65000"/>
    <n v="10270000"/>
  </r>
  <r>
    <x v="72"/>
    <s v="INV01033"/>
    <x v="2"/>
    <x v="36"/>
    <x v="7"/>
    <x v="3"/>
    <n v="158"/>
    <n v="120000"/>
    <n v="18960000"/>
  </r>
  <r>
    <x v="29"/>
    <s v="INV01083"/>
    <x v="2"/>
    <x v="43"/>
    <x v="7"/>
    <x v="0"/>
    <n v="158"/>
    <n v="120000"/>
    <n v="18960000"/>
  </r>
  <r>
    <x v="136"/>
    <s v="INV00195"/>
    <x v="2"/>
    <x v="48"/>
    <x v="4"/>
    <x v="2"/>
    <n v="159"/>
    <n v="120000"/>
    <n v="19080000"/>
  </r>
  <r>
    <x v="124"/>
    <s v="INV00456"/>
    <x v="3"/>
    <x v="44"/>
    <x v="4"/>
    <x v="0"/>
    <n v="159"/>
    <n v="65000"/>
    <n v="10335000"/>
  </r>
  <r>
    <x v="272"/>
    <s v="INV00922"/>
    <x v="0"/>
    <x v="18"/>
    <x v="4"/>
    <x v="2"/>
    <n v="159"/>
    <n v="55000"/>
    <n v="8745000"/>
  </r>
  <r>
    <x v="269"/>
    <s v="INV01188"/>
    <x v="0"/>
    <x v="22"/>
    <x v="0"/>
    <x v="0"/>
    <n v="159"/>
    <n v="55000"/>
    <n v="8745000"/>
  </r>
  <r>
    <x v="178"/>
    <s v="INV00232"/>
    <x v="0"/>
    <x v="37"/>
    <x v="0"/>
    <x v="2"/>
    <n v="160"/>
    <n v="55000"/>
    <n v="8800000"/>
  </r>
  <r>
    <x v="25"/>
    <s v="INV00246"/>
    <x v="3"/>
    <x v="8"/>
    <x v="2"/>
    <x v="1"/>
    <n v="160"/>
    <n v="65000"/>
    <n v="10400000"/>
  </r>
  <r>
    <x v="187"/>
    <s v="INV00292"/>
    <x v="3"/>
    <x v="44"/>
    <x v="4"/>
    <x v="0"/>
    <n v="160"/>
    <n v="65000"/>
    <n v="10400000"/>
  </r>
  <r>
    <x v="288"/>
    <s v="INV00446"/>
    <x v="3"/>
    <x v="9"/>
    <x v="6"/>
    <x v="2"/>
    <n v="160"/>
    <n v="65000"/>
    <n v="10400000"/>
  </r>
  <r>
    <x v="280"/>
    <s v="INV00859"/>
    <x v="1"/>
    <x v="0"/>
    <x v="0"/>
    <x v="3"/>
    <n v="160"/>
    <n v="75000"/>
    <n v="12000000"/>
  </r>
  <r>
    <x v="69"/>
    <s v="INV00346"/>
    <x v="0"/>
    <x v="37"/>
    <x v="0"/>
    <x v="4"/>
    <n v="161"/>
    <n v="55000"/>
    <n v="8855000"/>
  </r>
  <r>
    <x v="122"/>
    <s v="INV00361"/>
    <x v="1"/>
    <x v="34"/>
    <x v="0"/>
    <x v="4"/>
    <n v="161"/>
    <n v="75000"/>
    <n v="12075000"/>
  </r>
  <r>
    <x v="126"/>
    <s v="INV00373"/>
    <x v="3"/>
    <x v="26"/>
    <x v="0"/>
    <x v="2"/>
    <n v="161"/>
    <n v="65000"/>
    <n v="10465000"/>
  </r>
  <r>
    <x v="297"/>
    <s v="INV00908"/>
    <x v="2"/>
    <x v="41"/>
    <x v="1"/>
    <x v="2"/>
    <n v="161"/>
    <n v="120000"/>
    <n v="19320000"/>
  </r>
  <r>
    <x v="97"/>
    <s v="INV00042"/>
    <x v="0"/>
    <x v="5"/>
    <x v="4"/>
    <x v="0"/>
    <n v="162"/>
    <n v="55000"/>
    <n v="8910000"/>
  </r>
  <r>
    <x v="279"/>
    <s v="INV00105"/>
    <x v="2"/>
    <x v="32"/>
    <x v="4"/>
    <x v="0"/>
    <n v="162"/>
    <n v="120000"/>
    <n v="19440000"/>
  </r>
  <r>
    <x v="112"/>
    <s v="INV00215"/>
    <x v="1"/>
    <x v="2"/>
    <x v="1"/>
    <x v="3"/>
    <n v="162"/>
    <n v="75000"/>
    <n v="12150000"/>
  </r>
  <r>
    <x v="310"/>
    <s v="INV00443"/>
    <x v="1"/>
    <x v="23"/>
    <x v="1"/>
    <x v="0"/>
    <n v="162"/>
    <n v="75000"/>
    <n v="12150000"/>
  </r>
  <r>
    <x v="334"/>
    <s v="INV00669"/>
    <x v="0"/>
    <x v="43"/>
    <x v="7"/>
    <x v="2"/>
    <n v="162"/>
    <n v="55000"/>
    <n v="8910000"/>
  </r>
  <r>
    <x v="286"/>
    <s v="INV01109"/>
    <x v="2"/>
    <x v="34"/>
    <x v="0"/>
    <x v="3"/>
    <n v="162"/>
    <n v="120000"/>
    <n v="19440000"/>
  </r>
  <r>
    <x v="327"/>
    <s v="INV00015"/>
    <x v="3"/>
    <x v="29"/>
    <x v="3"/>
    <x v="1"/>
    <n v="163"/>
    <n v="65000"/>
    <n v="10595000"/>
  </r>
  <r>
    <x v="315"/>
    <s v="INV00022"/>
    <x v="2"/>
    <x v="46"/>
    <x v="3"/>
    <x v="2"/>
    <n v="163"/>
    <n v="120000"/>
    <n v="19560000"/>
  </r>
  <r>
    <x v="37"/>
    <s v="INV00138"/>
    <x v="1"/>
    <x v="23"/>
    <x v="1"/>
    <x v="4"/>
    <n v="163"/>
    <n v="75000"/>
    <n v="12225000"/>
  </r>
  <r>
    <x v="101"/>
    <s v="INV00327"/>
    <x v="1"/>
    <x v="7"/>
    <x v="6"/>
    <x v="2"/>
    <n v="163"/>
    <n v="75000"/>
    <n v="12225000"/>
  </r>
  <r>
    <x v="311"/>
    <s v="INV00347"/>
    <x v="2"/>
    <x v="4"/>
    <x v="3"/>
    <x v="2"/>
    <n v="163"/>
    <n v="120000"/>
    <n v="19560000"/>
  </r>
  <r>
    <x v="335"/>
    <s v="INV00486"/>
    <x v="3"/>
    <x v="3"/>
    <x v="2"/>
    <x v="1"/>
    <n v="163"/>
    <n v="65000"/>
    <n v="10595000"/>
  </r>
  <r>
    <x v="239"/>
    <s v="INV00857"/>
    <x v="0"/>
    <x v="23"/>
    <x v="1"/>
    <x v="4"/>
    <n v="163"/>
    <n v="55000"/>
    <n v="8965000"/>
  </r>
  <r>
    <x v="11"/>
    <s v="INV00858"/>
    <x v="3"/>
    <x v="21"/>
    <x v="4"/>
    <x v="2"/>
    <n v="163"/>
    <n v="65000"/>
    <n v="10595000"/>
  </r>
  <r>
    <x v="180"/>
    <s v="INV00976"/>
    <x v="1"/>
    <x v="23"/>
    <x v="1"/>
    <x v="1"/>
    <n v="163"/>
    <n v="75000"/>
    <n v="12225000"/>
  </r>
  <r>
    <x v="234"/>
    <s v="INV01072"/>
    <x v="1"/>
    <x v="45"/>
    <x v="6"/>
    <x v="0"/>
    <n v="163"/>
    <n v="75000"/>
    <n v="12225000"/>
  </r>
  <r>
    <x v="170"/>
    <s v="INV01117"/>
    <x v="0"/>
    <x v="28"/>
    <x v="3"/>
    <x v="3"/>
    <n v="163"/>
    <n v="55000"/>
    <n v="8965000"/>
  </r>
  <r>
    <x v="172"/>
    <s v="INV01157"/>
    <x v="0"/>
    <x v="44"/>
    <x v="4"/>
    <x v="2"/>
    <n v="163"/>
    <n v="55000"/>
    <n v="8965000"/>
  </r>
  <r>
    <x v="216"/>
    <s v="INV00048"/>
    <x v="1"/>
    <x v="7"/>
    <x v="6"/>
    <x v="2"/>
    <n v="164"/>
    <n v="75000"/>
    <n v="12300000"/>
  </r>
  <r>
    <x v="252"/>
    <s v="INV00491"/>
    <x v="1"/>
    <x v="35"/>
    <x v="3"/>
    <x v="4"/>
    <n v="164"/>
    <n v="75000"/>
    <n v="12300000"/>
  </r>
  <r>
    <x v="255"/>
    <s v="INV00627"/>
    <x v="3"/>
    <x v="25"/>
    <x v="5"/>
    <x v="4"/>
    <n v="164"/>
    <n v="65000"/>
    <n v="10660000"/>
  </r>
  <r>
    <x v="43"/>
    <s v="INV00798"/>
    <x v="3"/>
    <x v="33"/>
    <x v="7"/>
    <x v="3"/>
    <n v="164"/>
    <n v="65000"/>
    <n v="10660000"/>
  </r>
  <r>
    <x v="280"/>
    <s v="INV01195"/>
    <x v="0"/>
    <x v="28"/>
    <x v="3"/>
    <x v="3"/>
    <n v="164"/>
    <n v="55000"/>
    <n v="9020000"/>
  </r>
  <r>
    <x v="111"/>
    <s v="INV00210"/>
    <x v="3"/>
    <x v="26"/>
    <x v="0"/>
    <x v="4"/>
    <n v="165"/>
    <n v="65000"/>
    <n v="10725000"/>
  </r>
  <r>
    <x v="186"/>
    <s v="INV00333"/>
    <x v="2"/>
    <x v="4"/>
    <x v="3"/>
    <x v="1"/>
    <n v="165"/>
    <n v="120000"/>
    <n v="19800000"/>
  </r>
  <r>
    <x v="233"/>
    <s v="INV00406"/>
    <x v="1"/>
    <x v="5"/>
    <x v="4"/>
    <x v="1"/>
    <n v="165"/>
    <n v="75000"/>
    <n v="12375000"/>
  </r>
  <r>
    <x v="247"/>
    <s v="INV01070"/>
    <x v="3"/>
    <x v="24"/>
    <x v="6"/>
    <x v="4"/>
    <n v="165"/>
    <n v="65000"/>
    <n v="10725000"/>
  </r>
  <r>
    <x v="304"/>
    <s v="INV01189"/>
    <x v="3"/>
    <x v="6"/>
    <x v="5"/>
    <x v="4"/>
    <n v="165"/>
    <n v="65000"/>
    <n v="10725000"/>
  </r>
  <r>
    <x v="63"/>
    <s v="INV00053"/>
    <x v="3"/>
    <x v="22"/>
    <x v="0"/>
    <x v="4"/>
    <n v="166"/>
    <n v="65000"/>
    <n v="10790000"/>
  </r>
  <r>
    <x v="38"/>
    <s v="INV00140"/>
    <x v="0"/>
    <x v="31"/>
    <x v="2"/>
    <x v="1"/>
    <n v="166"/>
    <n v="55000"/>
    <n v="9130000"/>
  </r>
  <r>
    <x v="296"/>
    <s v="INV00533"/>
    <x v="2"/>
    <x v="44"/>
    <x v="4"/>
    <x v="2"/>
    <n v="166"/>
    <n v="120000"/>
    <n v="19920000"/>
  </r>
  <r>
    <x v="174"/>
    <s v="INV00565"/>
    <x v="1"/>
    <x v="10"/>
    <x v="0"/>
    <x v="1"/>
    <n v="166"/>
    <n v="75000"/>
    <n v="12450000"/>
  </r>
  <r>
    <x v="194"/>
    <s v="INV00701"/>
    <x v="1"/>
    <x v="46"/>
    <x v="3"/>
    <x v="0"/>
    <n v="166"/>
    <n v="75000"/>
    <n v="12450000"/>
  </r>
  <r>
    <x v="290"/>
    <s v="INV01064"/>
    <x v="3"/>
    <x v="10"/>
    <x v="0"/>
    <x v="2"/>
    <n v="166"/>
    <n v="65000"/>
    <n v="10790000"/>
  </r>
  <r>
    <x v="149"/>
    <s v="INV00115"/>
    <x v="3"/>
    <x v="34"/>
    <x v="0"/>
    <x v="4"/>
    <n v="167"/>
    <n v="65000"/>
    <n v="10855000"/>
  </r>
  <r>
    <x v="23"/>
    <s v="INV00288"/>
    <x v="3"/>
    <x v="20"/>
    <x v="5"/>
    <x v="0"/>
    <n v="167"/>
    <n v="65000"/>
    <n v="10855000"/>
  </r>
  <r>
    <x v="36"/>
    <s v="INV00697"/>
    <x v="1"/>
    <x v="24"/>
    <x v="6"/>
    <x v="4"/>
    <n v="167"/>
    <n v="75000"/>
    <n v="12525000"/>
  </r>
  <r>
    <x v="39"/>
    <s v="INV00881"/>
    <x v="2"/>
    <x v="9"/>
    <x v="6"/>
    <x v="1"/>
    <n v="167"/>
    <n v="120000"/>
    <n v="20040000"/>
  </r>
  <r>
    <x v="13"/>
    <s v="INV01014"/>
    <x v="3"/>
    <x v="14"/>
    <x v="5"/>
    <x v="4"/>
    <n v="167"/>
    <n v="65000"/>
    <n v="10855000"/>
  </r>
  <r>
    <x v="298"/>
    <s v="INV00194"/>
    <x v="0"/>
    <x v="47"/>
    <x v="3"/>
    <x v="4"/>
    <n v="168"/>
    <n v="55000"/>
    <n v="9240000"/>
  </r>
  <r>
    <x v="84"/>
    <s v="INV00241"/>
    <x v="3"/>
    <x v="44"/>
    <x v="4"/>
    <x v="3"/>
    <n v="168"/>
    <n v="65000"/>
    <n v="10920000"/>
  </r>
  <r>
    <x v="325"/>
    <s v="INV00397"/>
    <x v="0"/>
    <x v="12"/>
    <x v="2"/>
    <x v="2"/>
    <n v="168"/>
    <n v="55000"/>
    <n v="9240000"/>
  </r>
  <r>
    <x v="252"/>
    <s v="INV00465"/>
    <x v="0"/>
    <x v="11"/>
    <x v="1"/>
    <x v="1"/>
    <n v="168"/>
    <n v="55000"/>
    <n v="9240000"/>
  </r>
  <r>
    <x v="221"/>
    <s v="INV00604"/>
    <x v="1"/>
    <x v="15"/>
    <x v="3"/>
    <x v="1"/>
    <n v="168"/>
    <n v="75000"/>
    <n v="12600000"/>
  </r>
  <r>
    <x v="248"/>
    <s v="INV00938"/>
    <x v="0"/>
    <x v="27"/>
    <x v="2"/>
    <x v="0"/>
    <n v="168"/>
    <n v="55000"/>
    <n v="9240000"/>
  </r>
  <r>
    <x v="336"/>
    <s v="INV00703"/>
    <x v="3"/>
    <x v="35"/>
    <x v="3"/>
    <x v="4"/>
    <n v="169"/>
    <n v="65000"/>
    <n v="10985000"/>
  </r>
  <r>
    <x v="227"/>
    <s v="INV00719"/>
    <x v="3"/>
    <x v="3"/>
    <x v="2"/>
    <x v="3"/>
    <n v="169"/>
    <n v="65000"/>
    <n v="10985000"/>
  </r>
  <r>
    <x v="148"/>
    <s v="INV00845"/>
    <x v="3"/>
    <x v="15"/>
    <x v="3"/>
    <x v="3"/>
    <n v="169"/>
    <n v="65000"/>
    <n v="10985000"/>
  </r>
  <r>
    <x v="134"/>
    <s v="INV01108"/>
    <x v="0"/>
    <x v="38"/>
    <x v="4"/>
    <x v="1"/>
    <n v="169"/>
    <n v="55000"/>
    <n v="9295000"/>
  </r>
  <r>
    <x v="250"/>
    <s v="INV00017"/>
    <x v="2"/>
    <x v="33"/>
    <x v="7"/>
    <x v="3"/>
    <n v="170"/>
    <n v="120000"/>
    <n v="20400000"/>
  </r>
  <r>
    <x v="243"/>
    <s v="INV00432"/>
    <x v="3"/>
    <x v="23"/>
    <x v="1"/>
    <x v="2"/>
    <n v="170"/>
    <n v="65000"/>
    <n v="11050000"/>
  </r>
  <r>
    <x v="158"/>
    <s v="INV00445"/>
    <x v="1"/>
    <x v="22"/>
    <x v="0"/>
    <x v="4"/>
    <n v="170"/>
    <n v="75000"/>
    <n v="12750000"/>
  </r>
  <r>
    <x v="157"/>
    <s v="INV00447"/>
    <x v="3"/>
    <x v="5"/>
    <x v="4"/>
    <x v="1"/>
    <n v="170"/>
    <n v="65000"/>
    <n v="11050000"/>
  </r>
  <r>
    <x v="286"/>
    <s v="INV00547"/>
    <x v="1"/>
    <x v="14"/>
    <x v="5"/>
    <x v="4"/>
    <n v="170"/>
    <n v="75000"/>
    <n v="12750000"/>
  </r>
  <r>
    <x v="210"/>
    <s v="INV00615"/>
    <x v="2"/>
    <x v="20"/>
    <x v="5"/>
    <x v="4"/>
    <n v="170"/>
    <n v="120000"/>
    <n v="20400000"/>
  </r>
  <r>
    <x v="327"/>
    <s v="INV00788"/>
    <x v="0"/>
    <x v="30"/>
    <x v="2"/>
    <x v="2"/>
    <n v="170"/>
    <n v="55000"/>
    <n v="9350000"/>
  </r>
  <r>
    <x v="318"/>
    <s v="INV00841"/>
    <x v="0"/>
    <x v="44"/>
    <x v="4"/>
    <x v="2"/>
    <n v="170"/>
    <n v="55000"/>
    <n v="9350000"/>
  </r>
  <r>
    <x v="74"/>
    <s v="INV01032"/>
    <x v="0"/>
    <x v="37"/>
    <x v="0"/>
    <x v="3"/>
    <n v="170"/>
    <n v="55000"/>
    <n v="9350000"/>
  </r>
  <r>
    <x v="272"/>
    <s v="INV00588"/>
    <x v="0"/>
    <x v="15"/>
    <x v="3"/>
    <x v="0"/>
    <n v="171"/>
    <n v="55000"/>
    <n v="9405000"/>
  </r>
  <r>
    <x v="337"/>
    <s v="INV00913"/>
    <x v="0"/>
    <x v="23"/>
    <x v="1"/>
    <x v="3"/>
    <n v="171"/>
    <n v="55000"/>
    <n v="9405000"/>
  </r>
  <r>
    <x v="197"/>
    <s v="INV00157"/>
    <x v="1"/>
    <x v="32"/>
    <x v="4"/>
    <x v="2"/>
    <n v="172"/>
    <n v="75000"/>
    <n v="12900000"/>
  </r>
  <r>
    <x v="44"/>
    <s v="INV00267"/>
    <x v="0"/>
    <x v="28"/>
    <x v="3"/>
    <x v="3"/>
    <n v="172"/>
    <n v="55000"/>
    <n v="9460000"/>
  </r>
  <r>
    <x v="94"/>
    <s v="INV00319"/>
    <x v="3"/>
    <x v="29"/>
    <x v="3"/>
    <x v="3"/>
    <n v="172"/>
    <n v="65000"/>
    <n v="11180000"/>
  </r>
  <r>
    <x v="88"/>
    <s v="INV00505"/>
    <x v="3"/>
    <x v="13"/>
    <x v="1"/>
    <x v="3"/>
    <n v="172"/>
    <n v="65000"/>
    <n v="11180000"/>
  </r>
  <r>
    <x v="273"/>
    <s v="INV00827"/>
    <x v="0"/>
    <x v="24"/>
    <x v="6"/>
    <x v="1"/>
    <n v="172"/>
    <n v="55000"/>
    <n v="9460000"/>
  </r>
  <r>
    <x v="89"/>
    <s v="INV00944"/>
    <x v="3"/>
    <x v="48"/>
    <x v="4"/>
    <x v="4"/>
    <n v="172"/>
    <n v="65000"/>
    <n v="11180000"/>
  </r>
  <r>
    <x v="84"/>
    <s v="INV00038"/>
    <x v="1"/>
    <x v="36"/>
    <x v="7"/>
    <x v="1"/>
    <n v="173"/>
    <n v="75000"/>
    <n v="12975000"/>
  </r>
  <r>
    <x v="136"/>
    <s v="INV00206"/>
    <x v="0"/>
    <x v="4"/>
    <x v="3"/>
    <x v="2"/>
    <n v="173"/>
    <n v="55000"/>
    <n v="9515000"/>
  </r>
  <r>
    <x v="269"/>
    <s v="INV00504"/>
    <x v="3"/>
    <x v="35"/>
    <x v="3"/>
    <x v="3"/>
    <n v="173"/>
    <n v="65000"/>
    <n v="11245000"/>
  </r>
  <r>
    <x v="314"/>
    <s v="INV00602"/>
    <x v="1"/>
    <x v="8"/>
    <x v="2"/>
    <x v="2"/>
    <n v="173"/>
    <n v="75000"/>
    <n v="12975000"/>
  </r>
  <r>
    <x v="162"/>
    <s v="INV01050"/>
    <x v="2"/>
    <x v="5"/>
    <x v="4"/>
    <x v="3"/>
    <n v="173"/>
    <n v="120000"/>
    <n v="20760000"/>
  </r>
  <r>
    <x v="58"/>
    <s v="INV01113"/>
    <x v="2"/>
    <x v="49"/>
    <x v="7"/>
    <x v="1"/>
    <n v="173"/>
    <n v="120000"/>
    <n v="20760000"/>
  </r>
  <r>
    <x v="113"/>
    <s v="INV00384"/>
    <x v="3"/>
    <x v="5"/>
    <x v="4"/>
    <x v="3"/>
    <n v="174"/>
    <n v="65000"/>
    <n v="11310000"/>
  </r>
  <r>
    <x v="24"/>
    <s v="INV00520"/>
    <x v="0"/>
    <x v="41"/>
    <x v="1"/>
    <x v="2"/>
    <n v="174"/>
    <n v="55000"/>
    <n v="9570000"/>
  </r>
  <r>
    <x v="73"/>
    <s v="INV00750"/>
    <x v="0"/>
    <x v="4"/>
    <x v="3"/>
    <x v="1"/>
    <n v="174"/>
    <n v="55000"/>
    <n v="9570000"/>
  </r>
  <r>
    <x v="197"/>
    <s v="INV00776"/>
    <x v="2"/>
    <x v="42"/>
    <x v="0"/>
    <x v="3"/>
    <n v="174"/>
    <n v="120000"/>
    <n v="20880000"/>
  </r>
  <r>
    <x v="62"/>
    <s v="INV00882"/>
    <x v="1"/>
    <x v="39"/>
    <x v="4"/>
    <x v="1"/>
    <n v="174"/>
    <n v="75000"/>
    <n v="13050000"/>
  </r>
  <r>
    <x v="269"/>
    <s v="INV00974"/>
    <x v="2"/>
    <x v="14"/>
    <x v="5"/>
    <x v="1"/>
    <n v="174"/>
    <n v="120000"/>
    <n v="20880000"/>
  </r>
  <r>
    <x v="104"/>
    <s v="INV01028"/>
    <x v="3"/>
    <x v="39"/>
    <x v="4"/>
    <x v="4"/>
    <n v="174"/>
    <n v="65000"/>
    <n v="11310000"/>
  </r>
  <r>
    <x v="229"/>
    <s v="INV00083"/>
    <x v="0"/>
    <x v="37"/>
    <x v="0"/>
    <x v="1"/>
    <n v="175"/>
    <n v="55000"/>
    <n v="9625000"/>
  </r>
  <r>
    <x v="335"/>
    <s v="INV00258"/>
    <x v="2"/>
    <x v="2"/>
    <x v="1"/>
    <x v="2"/>
    <n v="175"/>
    <n v="120000"/>
    <n v="21000000"/>
  </r>
  <r>
    <x v="279"/>
    <s v="INV00566"/>
    <x v="0"/>
    <x v="14"/>
    <x v="5"/>
    <x v="0"/>
    <n v="175"/>
    <n v="55000"/>
    <n v="9625000"/>
  </r>
  <r>
    <x v="321"/>
    <s v="INV00572"/>
    <x v="1"/>
    <x v="41"/>
    <x v="1"/>
    <x v="4"/>
    <n v="175"/>
    <n v="75000"/>
    <n v="13125000"/>
  </r>
  <r>
    <x v="15"/>
    <s v="INV00671"/>
    <x v="0"/>
    <x v="43"/>
    <x v="7"/>
    <x v="0"/>
    <n v="175"/>
    <n v="55000"/>
    <n v="9625000"/>
  </r>
  <r>
    <x v="183"/>
    <s v="INV00518"/>
    <x v="3"/>
    <x v="19"/>
    <x v="6"/>
    <x v="4"/>
    <n v="176"/>
    <n v="65000"/>
    <n v="11440000"/>
  </r>
  <r>
    <x v="338"/>
    <s v="INV00521"/>
    <x v="1"/>
    <x v="25"/>
    <x v="5"/>
    <x v="2"/>
    <n v="176"/>
    <n v="75000"/>
    <n v="13200000"/>
  </r>
  <r>
    <x v="32"/>
    <s v="INV00999"/>
    <x v="3"/>
    <x v="8"/>
    <x v="2"/>
    <x v="3"/>
    <n v="176"/>
    <n v="65000"/>
    <n v="11440000"/>
  </r>
  <r>
    <x v="288"/>
    <s v="INV01039"/>
    <x v="0"/>
    <x v="44"/>
    <x v="4"/>
    <x v="2"/>
    <n v="176"/>
    <n v="55000"/>
    <n v="9680000"/>
  </r>
  <r>
    <x v="335"/>
    <s v="INV01147"/>
    <x v="0"/>
    <x v="47"/>
    <x v="3"/>
    <x v="4"/>
    <n v="176"/>
    <n v="55000"/>
    <n v="9680000"/>
  </r>
  <r>
    <x v="149"/>
    <s v="INV00137"/>
    <x v="3"/>
    <x v="35"/>
    <x v="3"/>
    <x v="1"/>
    <n v="177"/>
    <n v="65000"/>
    <n v="11505000"/>
  </r>
  <r>
    <x v="291"/>
    <s v="INV00344"/>
    <x v="0"/>
    <x v="16"/>
    <x v="3"/>
    <x v="0"/>
    <n v="177"/>
    <n v="55000"/>
    <n v="9735000"/>
  </r>
  <r>
    <x v="188"/>
    <s v="INV00775"/>
    <x v="2"/>
    <x v="42"/>
    <x v="0"/>
    <x v="2"/>
    <n v="177"/>
    <n v="120000"/>
    <n v="21240000"/>
  </r>
  <r>
    <x v="323"/>
    <s v="INV01152"/>
    <x v="0"/>
    <x v="5"/>
    <x v="4"/>
    <x v="4"/>
    <n v="177"/>
    <n v="55000"/>
    <n v="9735000"/>
  </r>
  <r>
    <x v="54"/>
    <s v="INV01179"/>
    <x v="1"/>
    <x v="14"/>
    <x v="5"/>
    <x v="2"/>
    <n v="177"/>
    <n v="75000"/>
    <n v="13275000"/>
  </r>
  <r>
    <x v="307"/>
    <s v="INV00200"/>
    <x v="0"/>
    <x v="37"/>
    <x v="0"/>
    <x v="1"/>
    <n v="178"/>
    <n v="55000"/>
    <n v="9790000"/>
  </r>
  <r>
    <x v="123"/>
    <s v="INV00289"/>
    <x v="0"/>
    <x v="36"/>
    <x v="7"/>
    <x v="1"/>
    <n v="178"/>
    <n v="55000"/>
    <n v="9790000"/>
  </r>
  <r>
    <x v="223"/>
    <s v="INV00444"/>
    <x v="3"/>
    <x v="22"/>
    <x v="0"/>
    <x v="3"/>
    <n v="178"/>
    <n v="65000"/>
    <n v="11570000"/>
  </r>
  <r>
    <x v="277"/>
    <s v="INV00936"/>
    <x v="2"/>
    <x v="8"/>
    <x v="2"/>
    <x v="2"/>
    <n v="178"/>
    <n v="120000"/>
    <n v="21360000"/>
  </r>
  <r>
    <x v="60"/>
    <s v="INV00948"/>
    <x v="1"/>
    <x v="30"/>
    <x v="2"/>
    <x v="0"/>
    <n v="178"/>
    <n v="75000"/>
    <n v="13350000"/>
  </r>
  <r>
    <x v="339"/>
    <s v="INV01181"/>
    <x v="2"/>
    <x v="3"/>
    <x v="2"/>
    <x v="0"/>
    <n v="178"/>
    <n v="120000"/>
    <n v="21360000"/>
  </r>
  <r>
    <x v="133"/>
    <s v="INV00242"/>
    <x v="0"/>
    <x v="3"/>
    <x v="2"/>
    <x v="4"/>
    <n v="179"/>
    <n v="55000"/>
    <n v="9845000"/>
  </r>
  <r>
    <x v="73"/>
    <s v="INV00752"/>
    <x v="2"/>
    <x v="38"/>
    <x v="4"/>
    <x v="2"/>
    <n v="179"/>
    <n v="120000"/>
    <n v="21480000"/>
  </r>
  <r>
    <x v="262"/>
    <s v="INV01088"/>
    <x v="3"/>
    <x v="40"/>
    <x v="5"/>
    <x v="4"/>
    <n v="179"/>
    <n v="65000"/>
    <n v="11635000"/>
  </r>
  <r>
    <x v="340"/>
    <s v="INV01103"/>
    <x v="0"/>
    <x v="33"/>
    <x v="7"/>
    <x v="2"/>
    <n v="179"/>
    <n v="55000"/>
    <n v="9845000"/>
  </r>
  <r>
    <x v="309"/>
    <s v="INV00599"/>
    <x v="3"/>
    <x v="24"/>
    <x v="6"/>
    <x v="2"/>
    <n v="180"/>
    <n v="65000"/>
    <n v="11700000"/>
  </r>
  <r>
    <x v="133"/>
    <s v="INV00840"/>
    <x v="1"/>
    <x v="39"/>
    <x v="4"/>
    <x v="3"/>
    <n v="180"/>
    <n v="75000"/>
    <n v="13500000"/>
  </r>
  <r>
    <x v="82"/>
    <s v="INV00848"/>
    <x v="0"/>
    <x v="33"/>
    <x v="7"/>
    <x v="2"/>
    <n v="180"/>
    <n v="55000"/>
    <n v="9900000"/>
  </r>
  <r>
    <x v="7"/>
    <s v="INV00853"/>
    <x v="1"/>
    <x v="46"/>
    <x v="3"/>
    <x v="2"/>
    <n v="180"/>
    <n v="75000"/>
    <n v="13500000"/>
  </r>
  <r>
    <x v="247"/>
    <s v="INV00861"/>
    <x v="3"/>
    <x v="11"/>
    <x v="1"/>
    <x v="3"/>
    <n v="180"/>
    <n v="65000"/>
    <n v="11700000"/>
  </r>
  <r>
    <x v="143"/>
    <s v="INV00878"/>
    <x v="1"/>
    <x v="4"/>
    <x v="3"/>
    <x v="3"/>
    <n v="180"/>
    <n v="75000"/>
    <n v="13500000"/>
  </r>
  <r>
    <x v="27"/>
    <s v="INV00987"/>
    <x v="1"/>
    <x v="41"/>
    <x v="1"/>
    <x v="4"/>
    <n v="180"/>
    <n v="75000"/>
    <n v="13500000"/>
  </r>
  <r>
    <x v="337"/>
    <s v="INV01183"/>
    <x v="0"/>
    <x v="31"/>
    <x v="2"/>
    <x v="2"/>
    <n v="180"/>
    <n v="55000"/>
    <n v="9900000"/>
  </r>
  <r>
    <x v="154"/>
    <s v="INV00060"/>
    <x v="3"/>
    <x v="27"/>
    <x v="2"/>
    <x v="1"/>
    <n v="181"/>
    <n v="65000"/>
    <n v="11765000"/>
  </r>
  <r>
    <x v="122"/>
    <s v="INV00091"/>
    <x v="1"/>
    <x v="35"/>
    <x v="3"/>
    <x v="3"/>
    <n v="181"/>
    <n v="75000"/>
    <n v="13575000"/>
  </r>
  <r>
    <x v="26"/>
    <s v="INV00835"/>
    <x v="2"/>
    <x v="15"/>
    <x v="3"/>
    <x v="1"/>
    <n v="181"/>
    <n v="120000"/>
    <n v="21720000"/>
  </r>
  <r>
    <x v="210"/>
    <s v="INV00133"/>
    <x v="2"/>
    <x v="11"/>
    <x v="1"/>
    <x v="2"/>
    <n v="182"/>
    <n v="120000"/>
    <n v="21840000"/>
  </r>
  <r>
    <x v="230"/>
    <s v="INV00341"/>
    <x v="0"/>
    <x v="15"/>
    <x v="3"/>
    <x v="4"/>
    <n v="182"/>
    <n v="55000"/>
    <n v="10010000"/>
  </r>
  <r>
    <x v="147"/>
    <s v="INV00358"/>
    <x v="0"/>
    <x v="1"/>
    <x v="1"/>
    <x v="0"/>
    <n v="182"/>
    <n v="55000"/>
    <n v="10010000"/>
  </r>
  <r>
    <x v="212"/>
    <s v="INV00433"/>
    <x v="0"/>
    <x v="21"/>
    <x v="4"/>
    <x v="2"/>
    <n v="182"/>
    <n v="55000"/>
    <n v="10010000"/>
  </r>
  <r>
    <x v="341"/>
    <s v="INV00619"/>
    <x v="0"/>
    <x v="42"/>
    <x v="0"/>
    <x v="0"/>
    <n v="182"/>
    <n v="55000"/>
    <n v="10010000"/>
  </r>
  <r>
    <x v="86"/>
    <s v="INV00002"/>
    <x v="2"/>
    <x v="2"/>
    <x v="1"/>
    <x v="0"/>
    <n v="183"/>
    <n v="120000"/>
    <n v="21960000"/>
  </r>
  <r>
    <x v="5"/>
    <s v="INV00176"/>
    <x v="1"/>
    <x v="42"/>
    <x v="0"/>
    <x v="4"/>
    <n v="183"/>
    <n v="75000"/>
    <n v="13725000"/>
  </r>
  <r>
    <x v="22"/>
    <s v="INV00590"/>
    <x v="1"/>
    <x v="36"/>
    <x v="7"/>
    <x v="4"/>
    <n v="183"/>
    <n v="75000"/>
    <n v="13725000"/>
  </r>
  <r>
    <x v="342"/>
    <s v="INV01042"/>
    <x v="1"/>
    <x v="38"/>
    <x v="4"/>
    <x v="2"/>
    <n v="183"/>
    <n v="75000"/>
    <n v="13725000"/>
  </r>
  <r>
    <x v="307"/>
    <s v="INV01055"/>
    <x v="0"/>
    <x v="7"/>
    <x v="6"/>
    <x v="0"/>
    <n v="183"/>
    <n v="55000"/>
    <n v="10065000"/>
  </r>
  <r>
    <x v="343"/>
    <s v="INV00030"/>
    <x v="2"/>
    <x v="26"/>
    <x v="0"/>
    <x v="3"/>
    <n v="184"/>
    <n v="120000"/>
    <n v="22080000"/>
  </r>
  <r>
    <x v="236"/>
    <s v="INV00363"/>
    <x v="2"/>
    <x v="30"/>
    <x v="2"/>
    <x v="4"/>
    <n v="184"/>
    <n v="120000"/>
    <n v="22080000"/>
  </r>
  <r>
    <x v="30"/>
    <s v="INV00439"/>
    <x v="3"/>
    <x v="5"/>
    <x v="4"/>
    <x v="4"/>
    <n v="184"/>
    <n v="65000"/>
    <n v="11960000"/>
  </r>
  <r>
    <x v="167"/>
    <s v="INV00573"/>
    <x v="1"/>
    <x v="44"/>
    <x v="4"/>
    <x v="1"/>
    <n v="184"/>
    <n v="75000"/>
    <n v="13800000"/>
  </r>
  <r>
    <x v="315"/>
    <s v="INV00784"/>
    <x v="0"/>
    <x v="25"/>
    <x v="5"/>
    <x v="1"/>
    <n v="184"/>
    <n v="55000"/>
    <n v="10120000"/>
  </r>
  <r>
    <x v="47"/>
    <s v="INV00789"/>
    <x v="2"/>
    <x v="0"/>
    <x v="0"/>
    <x v="3"/>
    <n v="184"/>
    <n v="120000"/>
    <n v="22080000"/>
  </r>
  <r>
    <x v="70"/>
    <s v="INV00892"/>
    <x v="1"/>
    <x v="33"/>
    <x v="7"/>
    <x v="0"/>
    <n v="184"/>
    <n v="75000"/>
    <n v="13800000"/>
  </r>
  <r>
    <x v="204"/>
    <s v="INV00099"/>
    <x v="3"/>
    <x v="47"/>
    <x v="3"/>
    <x v="1"/>
    <n v="185"/>
    <n v="65000"/>
    <n v="12025000"/>
  </r>
  <r>
    <x v="269"/>
    <s v="INV00171"/>
    <x v="0"/>
    <x v="4"/>
    <x v="3"/>
    <x v="4"/>
    <n v="185"/>
    <n v="55000"/>
    <n v="10175000"/>
  </r>
  <r>
    <x v="233"/>
    <s v="INV00190"/>
    <x v="3"/>
    <x v="22"/>
    <x v="0"/>
    <x v="3"/>
    <n v="185"/>
    <n v="65000"/>
    <n v="12025000"/>
  </r>
  <r>
    <x v="193"/>
    <s v="INV00323"/>
    <x v="2"/>
    <x v="18"/>
    <x v="4"/>
    <x v="3"/>
    <n v="185"/>
    <n v="120000"/>
    <n v="22200000"/>
  </r>
  <r>
    <x v="59"/>
    <s v="INV00511"/>
    <x v="1"/>
    <x v="39"/>
    <x v="4"/>
    <x v="4"/>
    <n v="185"/>
    <n v="75000"/>
    <n v="13875000"/>
  </r>
  <r>
    <x v="87"/>
    <s v="INV00544"/>
    <x v="0"/>
    <x v="21"/>
    <x v="4"/>
    <x v="2"/>
    <n v="185"/>
    <n v="55000"/>
    <n v="10175000"/>
  </r>
  <r>
    <x v="279"/>
    <s v="INV00660"/>
    <x v="3"/>
    <x v="43"/>
    <x v="7"/>
    <x v="0"/>
    <n v="185"/>
    <n v="65000"/>
    <n v="12025000"/>
  </r>
  <r>
    <x v="344"/>
    <s v="INV00108"/>
    <x v="3"/>
    <x v="9"/>
    <x v="6"/>
    <x v="3"/>
    <n v="186"/>
    <n v="65000"/>
    <n v="12090000"/>
  </r>
  <r>
    <x v="192"/>
    <s v="INV00193"/>
    <x v="1"/>
    <x v="38"/>
    <x v="4"/>
    <x v="3"/>
    <n v="186"/>
    <n v="75000"/>
    <n v="13950000"/>
  </r>
  <r>
    <x v="181"/>
    <s v="INV00212"/>
    <x v="2"/>
    <x v="13"/>
    <x v="1"/>
    <x v="0"/>
    <n v="186"/>
    <n v="120000"/>
    <n v="22320000"/>
  </r>
  <r>
    <x v="5"/>
    <s v="INV00324"/>
    <x v="1"/>
    <x v="11"/>
    <x v="1"/>
    <x v="0"/>
    <n v="186"/>
    <n v="75000"/>
    <n v="13950000"/>
  </r>
  <r>
    <x v="332"/>
    <s v="INV00787"/>
    <x v="0"/>
    <x v="45"/>
    <x v="6"/>
    <x v="3"/>
    <n v="186"/>
    <n v="55000"/>
    <n v="10230000"/>
  </r>
  <r>
    <x v="259"/>
    <s v="INV00263"/>
    <x v="2"/>
    <x v="12"/>
    <x v="2"/>
    <x v="0"/>
    <n v="187"/>
    <n v="120000"/>
    <n v="22440000"/>
  </r>
  <r>
    <x v="13"/>
    <s v="INV00874"/>
    <x v="3"/>
    <x v="35"/>
    <x v="3"/>
    <x v="1"/>
    <n v="187"/>
    <n v="65000"/>
    <n v="12155000"/>
  </r>
  <r>
    <x v="103"/>
    <s v="INV00887"/>
    <x v="0"/>
    <x v="17"/>
    <x v="0"/>
    <x v="0"/>
    <n v="187"/>
    <n v="55000"/>
    <n v="10285000"/>
  </r>
  <r>
    <x v="287"/>
    <s v="INV00065"/>
    <x v="2"/>
    <x v="7"/>
    <x v="6"/>
    <x v="1"/>
    <n v="188"/>
    <n v="120000"/>
    <n v="22560000"/>
  </r>
  <r>
    <x v="105"/>
    <s v="INV00155"/>
    <x v="0"/>
    <x v="9"/>
    <x v="6"/>
    <x v="2"/>
    <n v="188"/>
    <n v="55000"/>
    <n v="10340000"/>
  </r>
  <r>
    <x v="205"/>
    <s v="INV00274"/>
    <x v="2"/>
    <x v="8"/>
    <x v="2"/>
    <x v="2"/>
    <n v="188"/>
    <n v="120000"/>
    <n v="22560000"/>
  </r>
  <r>
    <x v="102"/>
    <s v="INV00295"/>
    <x v="1"/>
    <x v="23"/>
    <x v="1"/>
    <x v="4"/>
    <n v="188"/>
    <n v="75000"/>
    <n v="14100000"/>
  </r>
  <r>
    <x v="106"/>
    <s v="INV00528"/>
    <x v="3"/>
    <x v="27"/>
    <x v="2"/>
    <x v="4"/>
    <n v="188"/>
    <n v="65000"/>
    <n v="12220000"/>
  </r>
  <r>
    <x v="177"/>
    <s v="INV00753"/>
    <x v="2"/>
    <x v="49"/>
    <x v="7"/>
    <x v="0"/>
    <n v="188"/>
    <n v="120000"/>
    <n v="22560000"/>
  </r>
  <r>
    <x v="345"/>
    <s v="INV00883"/>
    <x v="2"/>
    <x v="5"/>
    <x v="4"/>
    <x v="0"/>
    <n v="188"/>
    <n v="120000"/>
    <n v="22560000"/>
  </r>
  <r>
    <x v="242"/>
    <s v="INV01001"/>
    <x v="0"/>
    <x v="45"/>
    <x v="6"/>
    <x v="3"/>
    <n v="188"/>
    <n v="55000"/>
    <n v="10340000"/>
  </r>
  <r>
    <x v="27"/>
    <s v="INV01030"/>
    <x v="2"/>
    <x v="49"/>
    <x v="7"/>
    <x v="2"/>
    <n v="188"/>
    <n v="120000"/>
    <n v="22560000"/>
  </r>
  <r>
    <x v="29"/>
    <s v="INV01134"/>
    <x v="2"/>
    <x v="40"/>
    <x v="5"/>
    <x v="2"/>
    <n v="188"/>
    <n v="120000"/>
    <n v="22560000"/>
  </r>
  <r>
    <x v="137"/>
    <s v="INV01171"/>
    <x v="1"/>
    <x v="12"/>
    <x v="2"/>
    <x v="4"/>
    <n v="188"/>
    <n v="75000"/>
    <n v="14100000"/>
  </r>
  <r>
    <x v="295"/>
    <s v="INV00164"/>
    <x v="3"/>
    <x v="7"/>
    <x v="6"/>
    <x v="3"/>
    <n v="189"/>
    <n v="65000"/>
    <n v="12285000"/>
  </r>
  <r>
    <x v="332"/>
    <s v="INV00174"/>
    <x v="3"/>
    <x v="43"/>
    <x v="7"/>
    <x v="1"/>
    <n v="189"/>
    <n v="65000"/>
    <n v="12285000"/>
  </r>
  <r>
    <x v="273"/>
    <s v="INV00286"/>
    <x v="2"/>
    <x v="36"/>
    <x v="7"/>
    <x v="0"/>
    <n v="189"/>
    <n v="120000"/>
    <n v="22680000"/>
  </r>
  <r>
    <x v="273"/>
    <s v="INV00459"/>
    <x v="2"/>
    <x v="16"/>
    <x v="3"/>
    <x v="0"/>
    <n v="189"/>
    <n v="120000"/>
    <n v="22680000"/>
  </r>
  <r>
    <x v="19"/>
    <s v="INV00694"/>
    <x v="2"/>
    <x v="0"/>
    <x v="0"/>
    <x v="4"/>
    <n v="189"/>
    <n v="120000"/>
    <n v="22680000"/>
  </r>
  <r>
    <x v="82"/>
    <s v="INV00994"/>
    <x v="1"/>
    <x v="12"/>
    <x v="2"/>
    <x v="3"/>
    <n v="189"/>
    <n v="75000"/>
    <n v="14175000"/>
  </r>
  <r>
    <x v="156"/>
    <s v="INV01044"/>
    <x v="2"/>
    <x v="42"/>
    <x v="0"/>
    <x v="4"/>
    <n v="189"/>
    <n v="120000"/>
    <n v="22680000"/>
  </r>
  <r>
    <x v="346"/>
    <s v="INV00026"/>
    <x v="3"/>
    <x v="18"/>
    <x v="4"/>
    <x v="0"/>
    <n v="190"/>
    <n v="65000"/>
    <n v="12350000"/>
  </r>
  <r>
    <x v="219"/>
    <s v="INV00165"/>
    <x v="3"/>
    <x v="27"/>
    <x v="2"/>
    <x v="2"/>
    <n v="190"/>
    <n v="65000"/>
    <n v="12350000"/>
  </r>
  <r>
    <x v="35"/>
    <s v="INV00400"/>
    <x v="2"/>
    <x v="12"/>
    <x v="2"/>
    <x v="4"/>
    <n v="190"/>
    <n v="120000"/>
    <n v="22800000"/>
  </r>
  <r>
    <x v="291"/>
    <s v="INV00587"/>
    <x v="3"/>
    <x v="14"/>
    <x v="5"/>
    <x v="2"/>
    <n v="190"/>
    <n v="65000"/>
    <n v="12350000"/>
  </r>
  <r>
    <x v="237"/>
    <s v="INV00622"/>
    <x v="0"/>
    <x v="36"/>
    <x v="7"/>
    <x v="0"/>
    <n v="190"/>
    <n v="55000"/>
    <n v="10450000"/>
  </r>
  <r>
    <x v="79"/>
    <s v="INV00791"/>
    <x v="3"/>
    <x v="22"/>
    <x v="0"/>
    <x v="1"/>
    <n v="190"/>
    <n v="65000"/>
    <n v="12350000"/>
  </r>
  <r>
    <x v="193"/>
    <s v="INV00893"/>
    <x v="0"/>
    <x v="20"/>
    <x v="5"/>
    <x v="0"/>
    <n v="190"/>
    <n v="55000"/>
    <n v="10450000"/>
  </r>
  <r>
    <x v="178"/>
    <s v="INV00930"/>
    <x v="2"/>
    <x v="9"/>
    <x v="6"/>
    <x v="2"/>
    <n v="190"/>
    <n v="120000"/>
    <n v="22800000"/>
  </r>
  <r>
    <x v="328"/>
    <s v="INV01106"/>
    <x v="0"/>
    <x v="35"/>
    <x v="3"/>
    <x v="2"/>
    <n v="190"/>
    <n v="55000"/>
    <n v="10450000"/>
  </r>
  <r>
    <x v="9"/>
    <s v="INV01159"/>
    <x v="3"/>
    <x v="3"/>
    <x v="2"/>
    <x v="0"/>
    <n v="190"/>
    <n v="65000"/>
    <n v="12350000"/>
  </r>
  <r>
    <x v="289"/>
    <s v="INV00051"/>
    <x v="3"/>
    <x v="6"/>
    <x v="5"/>
    <x v="1"/>
    <n v="191"/>
    <n v="65000"/>
    <n v="12415000"/>
  </r>
  <r>
    <x v="113"/>
    <s v="INV00538"/>
    <x v="1"/>
    <x v="22"/>
    <x v="0"/>
    <x v="4"/>
    <n v="191"/>
    <n v="75000"/>
    <n v="14325000"/>
  </r>
  <r>
    <x v="270"/>
    <s v="INV00647"/>
    <x v="3"/>
    <x v="42"/>
    <x v="0"/>
    <x v="3"/>
    <n v="191"/>
    <n v="65000"/>
    <n v="12415000"/>
  </r>
  <r>
    <x v="214"/>
    <s v="INV00686"/>
    <x v="2"/>
    <x v="32"/>
    <x v="4"/>
    <x v="0"/>
    <n v="191"/>
    <n v="120000"/>
    <n v="22920000"/>
  </r>
  <r>
    <x v="198"/>
    <s v="INV00905"/>
    <x v="0"/>
    <x v="24"/>
    <x v="6"/>
    <x v="1"/>
    <n v="191"/>
    <n v="55000"/>
    <n v="10505000"/>
  </r>
  <r>
    <x v="83"/>
    <s v="INV00925"/>
    <x v="1"/>
    <x v="13"/>
    <x v="1"/>
    <x v="1"/>
    <n v="191"/>
    <n v="75000"/>
    <n v="14325000"/>
  </r>
  <r>
    <x v="276"/>
    <s v="INV01012"/>
    <x v="1"/>
    <x v="18"/>
    <x v="4"/>
    <x v="0"/>
    <n v="191"/>
    <n v="75000"/>
    <n v="14325000"/>
  </r>
  <r>
    <x v="227"/>
    <s v="INV01074"/>
    <x v="3"/>
    <x v="39"/>
    <x v="4"/>
    <x v="4"/>
    <n v="191"/>
    <n v="65000"/>
    <n v="12415000"/>
  </r>
  <r>
    <x v="107"/>
    <s v="INV01078"/>
    <x v="1"/>
    <x v="6"/>
    <x v="5"/>
    <x v="1"/>
    <n v="191"/>
    <n v="75000"/>
    <n v="14325000"/>
  </r>
  <r>
    <x v="347"/>
    <s v="INV01148"/>
    <x v="2"/>
    <x v="44"/>
    <x v="4"/>
    <x v="4"/>
    <n v="191"/>
    <n v="120000"/>
    <n v="22920000"/>
  </r>
  <r>
    <x v="65"/>
    <s v="INV00158"/>
    <x v="1"/>
    <x v="41"/>
    <x v="1"/>
    <x v="1"/>
    <n v="192"/>
    <n v="75000"/>
    <n v="14400000"/>
  </r>
  <r>
    <x v="16"/>
    <s v="INV00282"/>
    <x v="0"/>
    <x v="24"/>
    <x v="6"/>
    <x v="0"/>
    <n v="192"/>
    <n v="55000"/>
    <n v="10560000"/>
  </r>
  <r>
    <x v="189"/>
    <s v="INV00325"/>
    <x v="1"/>
    <x v="21"/>
    <x v="4"/>
    <x v="0"/>
    <n v="192"/>
    <n v="75000"/>
    <n v="14400000"/>
  </r>
  <r>
    <x v="308"/>
    <s v="INV00519"/>
    <x v="3"/>
    <x v="15"/>
    <x v="3"/>
    <x v="1"/>
    <n v="192"/>
    <n v="65000"/>
    <n v="12480000"/>
  </r>
  <r>
    <x v="157"/>
    <s v="INV00635"/>
    <x v="0"/>
    <x v="18"/>
    <x v="4"/>
    <x v="2"/>
    <n v="192"/>
    <n v="55000"/>
    <n v="10560000"/>
  </r>
  <r>
    <x v="180"/>
    <s v="INV00654"/>
    <x v="1"/>
    <x v="16"/>
    <x v="3"/>
    <x v="2"/>
    <n v="192"/>
    <n v="75000"/>
    <n v="14400000"/>
  </r>
  <r>
    <x v="208"/>
    <s v="INV00714"/>
    <x v="1"/>
    <x v="8"/>
    <x v="2"/>
    <x v="1"/>
    <n v="192"/>
    <n v="75000"/>
    <n v="14400000"/>
  </r>
  <r>
    <x v="42"/>
    <s v="INV00829"/>
    <x v="1"/>
    <x v="27"/>
    <x v="2"/>
    <x v="4"/>
    <n v="192"/>
    <n v="75000"/>
    <n v="14400000"/>
  </r>
  <r>
    <x v="36"/>
    <s v="INV01182"/>
    <x v="1"/>
    <x v="24"/>
    <x v="6"/>
    <x v="4"/>
    <n v="192"/>
    <n v="75000"/>
    <n v="14400000"/>
  </r>
  <r>
    <x v="136"/>
    <s v="INV00343"/>
    <x v="3"/>
    <x v="13"/>
    <x v="1"/>
    <x v="0"/>
    <n v="193"/>
    <n v="65000"/>
    <n v="12545000"/>
  </r>
  <r>
    <x v="348"/>
    <s v="INV00349"/>
    <x v="3"/>
    <x v="14"/>
    <x v="5"/>
    <x v="1"/>
    <n v="193"/>
    <n v="65000"/>
    <n v="12545000"/>
  </r>
  <r>
    <x v="57"/>
    <s v="INV00503"/>
    <x v="1"/>
    <x v="40"/>
    <x v="5"/>
    <x v="1"/>
    <n v="193"/>
    <n v="75000"/>
    <n v="14475000"/>
  </r>
  <r>
    <x v="87"/>
    <s v="INV00653"/>
    <x v="1"/>
    <x v="7"/>
    <x v="6"/>
    <x v="2"/>
    <n v="193"/>
    <n v="75000"/>
    <n v="14475000"/>
  </r>
  <r>
    <x v="68"/>
    <s v="INV00160"/>
    <x v="0"/>
    <x v="4"/>
    <x v="3"/>
    <x v="4"/>
    <n v="194"/>
    <n v="55000"/>
    <n v="10670000"/>
  </r>
  <r>
    <x v="304"/>
    <s v="INV00609"/>
    <x v="2"/>
    <x v="0"/>
    <x v="0"/>
    <x v="2"/>
    <n v="194"/>
    <n v="120000"/>
    <n v="23280000"/>
  </r>
  <r>
    <x v="99"/>
    <s v="INV00623"/>
    <x v="1"/>
    <x v="13"/>
    <x v="1"/>
    <x v="2"/>
    <n v="194"/>
    <n v="75000"/>
    <n v="14550000"/>
  </r>
  <r>
    <x v="332"/>
    <s v="INV00825"/>
    <x v="2"/>
    <x v="36"/>
    <x v="7"/>
    <x v="1"/>
    <n v="194"/>
    <n v="120000"/>
    <n v="23280000"/>
  </r>
  <r>
    <x v="339"/>
    <s v="INV00945"/>
    <x v="2"/>
    <x v="18"/>
    <x v="4"/>
    <x v="1"/>
    <n v="194"/>
    <n v="120000"/>
    <n v="23280000"/>
  </r>
  <r>
    <x v="250"/>
    <s v="INV00951"/>
    <x v="0"/>
    <x v="45"/>
    <x v="6"/>
    <x v="2"/>
    <n v="194"/>
    <n v="55000"/>
    <n v="10670000"/>
  </r>
  <r>
    <x v="349"/>
    <s v="INV01198"/>
    <x v="3"/>
    <x v="4"/>
    <x v="3"/>
    <x v="0"/>
    <n v="194"/>
    <n v="65000"/>
    <n v="12610000"/>
  </r>
  <r>
    <x v="40"/>
    <s v="INV00058"/>
    <x v="1"/>
    <x v="44"/>
    <x v="4"/>
    <x v="4"/>
    <n v="195"/>
    <n v="75000"/>
    <n v="14625000"/>
  </r>
  <r>
    <x v="72"/>
    <s v="INV00330"/>
    <x v="2"/>
    <x v="47"/>
    <x v="3"/>
    <x v="2"/>
    <n v="195"/>
    <n v="120000"/>
    <n v="23400000"/>
  </r>
  <r>
    <x v="308"/>
    <s v="INV00492"/>
    <x v="3"/>
    <x v="27"/>
    <x v="2"/>
    <x v="1"/>
    <n v="195"/>
    <n v="65000"/>
    <n v="12675000"/>
  </r>
  <r>
    <x v="71"/>
    <s v="INV01174"/>
    <x v="1"/>
    <x v="33"/>
    <x v="7"/>
    <x v="4"/>
    <n v="195"/>
    <n v="75000"/>
    <n v="14625000"/>
  </r>
  <r>
    <x v="232"/>
    <s v="INV00132"/>
    <x v="1"/>
    <x v="16"/>
    <x v="3"/>
    <x v="0"/>
    <n v="196"/>
    <n v="75000"/>
    <n v="14700000"/>
  </r>
  <r>
    <x v="22"/>
    <s v="INV00223"/>
    <x v="0"/>
    <x v="14"/>
    <x v="5"/>
    <x v="2"/>
    <n v="196"/>
    <n v="55000"/>
    <n v="10780000"/>
  </r>
  <r>
    <x v="216"/>
    <s v="INV00097"/>
    <x v="3"/>
    <x v="6"/>
    <x v="5"/>
    <x v="4"/>
    <n v="197"/>
    <n v="65000"/>
    <n v="12805000"/>
  </r>
  <r>
    <x v="286"/>
    <s v="INV00168"/>
    <x v="3"/>
    <x v="47"/>
    <x v="3"/>
    <x v="1"/>
    <n v="197"/>
    <n v="65000"/>
    <n v="12805000"/>
  </r>
  <r>
    <x v="261"/>
    <s v="INV00197"/>
    <x v="0"/>
    <x v="5"/>
    <x v="4"/>
    <x v="0"/>
    <n v="197"/>
    <n v="55000"/>
    <n v="10835000"/>
  </r>
  <r>
    <x v="288"/>
    <s v="INV00376"/>
    <x v="2"/>
    <x v="8"/>
    <x v="2"/>
    <x v="0"/>
    <n v="197"/>
    <n v="120000"/>
    <n v="23640000"/>
  </r>
  <r>
    <x v="30"/>
    <s v="INV00577"/>
    <x v="1"/>
    <x v="26"/>
    <x v="0"/>
    <x v="0"/>
    <n v="197"/>
    <n v="75000"/>
    <n v="14775000"/>
  </r>
  <r>
    <x v="76"/>
    <s v="INV00956"/>
    <x v="1"/>
    <x v="17"/>
    <x v="0"/>
    <x v="3"/>
    <n v="197"/>
    <n v="75000"/>
    <n v="14775000"/>
  </r>
  <r>
    <x v="191"/>
    <s v="INV00997"/>
    <x v="1"/>
    <x v="11"/>
    <x v="1"/>
    <x v="1"/>
    <n v="197"/>
    <n v="75000"/>
    <n v="14775000"/>
  </r>
  <r>
    <x v="350"/>
    <s v="INV00057"/>
    <x v="2"/>
    <x v="42"/>
    <x v="0"/>
    <x v="1"/>
    <n v="198"/>
    <n v="120000"/>
    <n v="23760000"/>
  </r>
  <r>
    <x v="174"/>
    <s v="INV00147"/>
    <x v="3"/>
    <x v="46"/>
    <x v="3"/>
    <x v="0"/>
    <n v="198"/>
    <n v="65000"/>
    <n v="12870000"/>
  </r>
  <r>
    <x v="188"/>
    <s v="INV00192"/>
    <x v="3"/>
    <x v="37"/>
    <x v="0"/>
    <x v="0"/>
    <n v="198"/>
    <n v="65000"/>
    <n v="12870000"/>
  </r>
  <r>
    <x v="104"/>
    <s v="INV00429"/>
    <x v="3"/>
    <x v="30"/>
    <x v="2"/>
    <x v="3"/>
    <n v="198"/>
    <n v="65000"/>
    <n v="12870000"/>
  </r>
  <r>
    <x v="56"/>
    <s v="INV00556"/>
    <x v="3"/>
    <x v="24"/>
    <x v="6"/>
    <x v="1"/>
    <n v="198"/>
    <n v="65000"/>
    <n v="12870000"/>
  </r>
  <r>
    <x v="94"/>
    <s v="INV00625"/>
    <x v="0"/>
    <x v="42"/>
    <x v="0"/>
    <x v="4"/>
    <n v="198"/>
    <n v="55000"/>
    <n v="10890000"/>
  </r>
  <r>
    <x v="194"/>
    <s v="INV00758"/>
    <x v="3"/>
    <x v="33"/>
    <x v="7"/>
    <x v="2"/>
    <n v="198"/>
    <n v="65000"/>
    <n v="12870000"/>
  </r>
  <r>
    <x v="294"/>
    <s v="INV00656"/>
    <x v="2"/>
    <x v="29"/>
    <x v="3"/>
    <x v="0"/>
    <n v="199"/>
    <n v="120000"/>
    <n v="23880000"/>
  </r>
  <r>
    <x v="268"/>
    <s v="INV01123"/>
    <x v="3"/>
    <x v="26"/>
    <x v="0"/>
    <x v="3"/>
    <n v="199"/>
    <n v="65000"/>
    <n v="12935000"/>
  </r>
  <r>
    <x v="125"/>
    <s v="INV00034"/>
    <x v="2"/>
    <x v="14"/>
    <x v="5"/>
    <x v="1"/>
    <n v="200"/>
    <n v="120000"/>
    <n v="24000000"/>
  </r>
  <r>
    <x v="145"/>
    <s v="INV00136"/>
    <x v="0"/>
    <x v="33"/>
    <x v="7"/>
    <x v="2"/>
    <n v="200"/>
    <n v="55000"/>
    <n v="11000000"/>
  </r>
  <r>
    <x v="229"/>
    <s v="INV00175"/>
    <x v="2"/>
    <x v="47"/>
    <x v="3"/>
    <x v="1"/>
    <n v="200"/>
    <n v="120000"/>
    <n v="24000000"/>
  </r>
  <r>
    <x v="188"/>
    <s v="INV00352"/>
    <x v="3"/>
    <x v="11"/>
    <x v="1"/>
    <x v="0"/>
    <n v="200"/>
    <n v="65000"/>
    <n v="13000000"/>
  </r>
  <r>
    <x v="40"/>
    <s v="INV00369"/>
    <x v="2"/>
    <x v="6"/>
    <x v="5"/>
    <x v="0"/>
    <n v="200"/>
    <n v="120000"/>
    <n v="24000000"/>
  </r>
  <r>
    <x v="265"/>
    <s v="INV00496"/>
    <x v="3"/>
    <x v="0"/>
    <x v="0"/>
    <x v="2"/>
    <n v="200"/>
    <n v="65000"/>
    <n v="13000000"/>
  </r>
  <r>
    <x v="351"/>
    <s v="INV00567"/>
    <x v="1"/>
    <x v="18"/>
    <x v="4"/>
    <x v="1"/>
    <n v="200"/>
    <n v="75000"/>
    <n v="15000000"/>
  </r>
  <r>
    <x v="103"/>
    <s v="INV00820"/>
    <x v="3"/>
    <x v="8"/>
    <x v="2"/>
    <x v="1"/>
    <n v="200"/>
    <n v="65000"/>
    <n v="13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2025"/>
    <x v="0"/>
    <n v="249765000"/>
    <n v="497707145"/>
    <n v="0.50183125259332972"/>
    <x v="0"/>
  </r>
  <r>
    <x v="1"/>
    <s v="2025"/>
    <x v="1"/>
    <n v="266845000"/>
    <n v="533058667"/>
    <n v="0.50059217965965463"/>
    <x v="0"/>
  </r>
  <r>
    <x v="0"/>
    <s v="2025"/>
    <x v="2"/>
    <n v="211555000"/>
    <n v="397170179"/>
    <n v="0.5326558014316578"/>
    <x v="0"/>
  </r>
  <r>
    <x v="2"/>
    <s v="2025"/>
    <x v="2"/>
    <n v="253445000"/>
    <n v="362719821"/>
    <n v="0.69873490591516363"/>
    <x v="0"/>
  </r>
  <r>
    <x v="0"/>
    <s v="2025"/>
    <x v="3"/>
    <n v="210025000"/>
    <n v="586356936"/>
    <n v="0.35818626352873911"/>
    <x v="0"/>
  </r>
  <r>
    <x v="1"/>
    <s v="2025"/>
    <x v="4"/>
    <n v="206945000"/>
    <n v="373180748"/>
    <n v="0.55454361220155979"/>
    <x v="0"/>
  </r>
  <r>
    <x v="3"/>
    <s v="2025"/>
    <x v="0"/>
    <n v="182365000"/>
    <n v="414761700"/>
    <n v="0.43968621017803716"/>
    <x v="0"/>
  </r>
  <r>
    <x v="4"/>
    <s v="2025"/>
    <x v="5"/>
    <n v="212735000"/>
    <n v="470253837"/>
    <n v="0.45238333695935373"/>
    <x v="0"/>
  </r>
  <r>
    <x v="2"/>
    <s v="2025"/>
    <x v="0"/>
    <n v="267675000"/>
    <n v="555148440"/>
    <n v="0.48216833681456439"/>
    <x v="0"/>
  </r>
  <r>
    <x v="4"/>
    <s v="2025"/>
    <x v="6"/>
    <n v="171660000"/>
    <n v="313079705"/>
    <n v="0.54829488228884082"/>
    <x v="0"/>
  </r>
  <r>
    <x v="0"/>
    <s v="2025"/>
    <x v="7"/>
    <n v="170395000"/>
    <n v="581403803"/>
    <n v="0.29307513834752125"/>
    <x v="0"/>
  </r>
  <r>
    <x v="2"/>
    <s v="2025"/>
    <x v="1"/>
    <n v="206910000"/>
    <n v="477049986"/>
    <n v="0.4337281334706925"/>
    <x v="0"/>
  </r>
  <r>
    <x v="4"/>
    <s v="2025"/>
    <x v="8"/>
    <n v="156230000"/>
    <n v="350125110"/>
    <n v="0.44621192693091905"/>
    <x v="0"/>
  </r>
  <r>
    <x v="4"/>
    <s v="2025"/>
    <x v="9"/>
    <n v="171540000"/>
    <n v="354735349"/>
    <n v="0.48357176831565213"/>
    <x v="0"/>
  </r>
  <r>
    <x v="4"/>
    <s v="2025"/>
    <x v="1"/>
    <n v="163760000"/>
    <n v="350125110"/>
    <n v="0.46771852495812138"/>
    <x v="0"/>
  </r>
  <r>
    <x v="0"/>
    <s v="2025"/>
    <x v="8"/>
    <n v="175955000"/>
    <n v="323811309"/>
    <n v="0.54338744543353801"/>
    <x v="0"/>
  </r>
  <r>
    <x v="1"/>
    <s v="2025"/>
    <x v="8"/>
    <n v="189475000"/>
    <n v="426869098"/>
    <n v="0.44387143714019794"/>
    <x v="0"/>
  </r>
  <r>
    <x v="4"/>
    <s v="2025"/>
    <x v="4"/>
    <n v="209330000"/>
    <n v="497321332"/>
    <n v="0.4209149829913188"/>
    <x v="0"/>
  </r>
  <r>
    <x v="3"/>
    <s v="2025"/>
    <x v="3"/>
    <n v="147310000"/>
    <n v="441380318"/>
    <n v="0.33374845681270271"/>
    <x v="0"/>
  </r>
  <r>
    <x v="2"/>
    <s v="2025"/>
    <x v="4"/>
    <n v="191425000"/>
    <n v="450598722"/>
    <n v="0.42482366383631243"/>
    <x v="0"/>
  </r>
  <r>
    <x v="4"/>
    <s v="2025"/>
    <x v="2"/>
    <n v="195540000"/>
    <n v="350125110"/>
    <n v="0.55848607944742956"/>
    <x v="0"/>
  </r>
  <r>
    <x v="1"/>
    <s v="2025"/>
    <x v="6"/>
    <n v="150835000"/>
    <n v="327980786"/>
    <n v="0.45988974488279932"/>
    <x v="0"/>
  </r>
  <r>
    <x v="2"/>
    <s v="2025"/>
    <x v="9"/>
    <n v="183880000"/>
    <n v="477049986"/>
    <n v="0.38545226998497384"/>
    <x v="0"/>
  </r>
  <r>
    <x v="0"/>
    <s v="2025"/>
    <x v="6"/>
    <n v="234810000"/>
    <n v="586356936"/>
    <n v="0.40045573878911189"/>
    <x v="0"/>
  </r>
  <r>
    <x v="2"/>
    <s v="2025"/>
    <x v="6"/>
    <n v="194220000"/>
    <n v="555148440"/>
    <n v="0.34985237461893975"/>
    <x v="0"/>
  </r>
  <r>
    <x v="1"/>
    <s v="2025"/>
    <x v="9"/>
    <n v="191045000"/>
    <n v="445738123"/>
    <n v="0.42860368037220814"/>
    <x v="0"/>
  </r>
  <r>
    <x v="2"/>
    <s v="2025"/>
    <x v="10"/>
    <n v="178305000"/>
    <n v="555148440"/>
    <n v="0.32118436647322651"/>
    <x v="0"/>
  </r>
  <r>
    <x v="1"/>
    <s v="2025"/>
    <x v="11"/>
    <n v="168265000"/>
    <n v="377540700"/>
    <n v="0.44568704778054391"/>
    <x v="0"/>
  </r>
  <r>
    <x v="4"/>
    <s v="2025"/>
    <x v="3"/>
    <n v="214270000"/>
    <n v="347981463"/>
    <n v="0.61575119017187419"/>
    <x v="0"/>
  </r>
  <r>
    <x v="0"/>
    <s v="2025"/>
    <x v="4"/>
    <n v="209955000"/>
    <n v="556351160"/>
    <n v="0.37737856069177605"/>
    <x v="0"/>
  </r>
  <r>
    <x v="3"/>
    <s v="2025"/>
    <x v="1"/>
    <n v="131350000"/>
    <n v="516629413"/>
    <n v="0.25424413843816518"/>
    <x v="0"/>
  </r>
  <r>
    <x v="3"/>
    <s v="2025"/>
    <x v="10"/>
    <n v="179705000"/>
    <n v="534429847"/>
    <n v="0.3362555459968537"/>
    <x v="0"/>
  </r>
  <r>
    <x v="3"/>
    <s v="2025"/>
    <x v="5"/>
    <n v="176845000"/>
    <n v="438202318"/>
    <n v="0.40356929376170025"/>
    <x v="0"/>
  </r>
  <r>
    <x v="3"/>
    <s v="2025"/>
    <x v="6"/>
    <n v="148270000"/>
    <n v="494429768"/>
    <n v="0.29988081138350875"/>
    <x v="0"/>
  </r>
  <r>
    <x v="4"/>
    <s v="2025"/>
    <x v="11"/>
    <n v="175595000"/>
    <n v="322869545"/>
    <n v="0.54385742699888273"/>
    <x v="0"/>
  </r>
  <r>
    <x v="4"/>
    <s v="2025"/>
    <x v="7"/>
    <n v="172980000"/>
    <n v="313079705"/>
    <n v="0.55251106104114922"/>
    <x v="0"/>
  </r>
  <r>
    <x v="1"/>
    <s v="2025"/>
    <x v="3"/>
    <n v="149015000"/>
    <n v="373180748"/>
    <n v="0.39931052391802374"/>
    <x v="0"/>
  </r>
  <r>
    <x v="3"/>
    <s v="2025"/>
    <x v="4"/>
    <n v="177560000"/>
    <n v="494429768"/>
    <n v="0.35912077203248005"/>
    <x v="0"/>
  </r>
  <r>
    <x v="0"/>
    <s v="2025"/>
    <x v="9"/>
    <n v="129575000"/>
    <n v="581403803"/>
    <n v="0.22286575927333588"/>
    <x v="0"/>
  </r>
  <r>
    <x v="2"/>
    <s v="2025"/>
    <x v="11"/>
    <n v="172350000"/>
    <n v="512756543"/>
    <n v="0.33612442854776015"/>
    <x v="0"/>
  </r>
  <r>
    <x v="0"/>
    <s v="2025"/>
    <x v="10"/>
    <n v="171145000"/>
    <n v="313993616"/>
    <n v="0.54505885240673169"/>
    <x v="0"/>
  </r>
  <r>
    <x v="1"/>
    <s v="2025"/>
    <x v="5"/>
    <n v="148615000"/>
    <n v="533058667"/>
    <n v="0.27879670512889343"/>
    <x v="0"/>
  </r>
  <r>
    <x v="0"/>
    <s v="2025"/>
    <x v="11"/>
    <n v="95485000"/>
    <n v="313993616"/>
    <n v="0.30409853937922099"/>
    <x v="0"/>
  </r>
  <r>
    <x v="1"/>
    <s v="2025"/>
    <x v="2"/>
    <n v="150905000"/>
    <n v="445738123"/>
    <n v="0.33855080419046857"/>
    <x v="0"/>
  </r>
  <r>
    <x v="3"/>
    <s v="2025"/>
    <x v="2"/>
    <n v="105470000"/>
    <n v="494429768"/>
    <n v="0.21331644416684878"/>
    <x v="0"/>
  </r>
  <r>
    <x v="3"/>
    <s v="2025"/>
    <x v="11"/>
    <n v="129000000"/>
    <n v="376172492"/>
    <n v="0.34292778643686683"/>
    <x v="0"/>
  </r>
  <r>
    <x v="1"/>
    <s v="2025"/>
    <x v="0"/>
    <n v="101955000"/>
    <n v="481011760"/>
    <n v="0.21195947475379812"/>
    <x v="0"/>
  </r>
  <r>
    <x v="0"/>
    <s v="2025"/>
    <x v="5"/>
    <n v="158010000"/>
    <n v="317407707"/>
    <n v="0.49781399920449948"/>
    <x v="0"/>
  </r>
  <r>
    <x v="2"/>
    <s v="2025"/>
    <x v="8"/>
    <n v="128775000"/>
    <n v="512756543"/>
    <n v="0.25114257781397048"/>
    <x v="0"/>
  </r>
  <r>
    <x v="3"/>
    <s v="2025"/>
    <x v="7"/>
    <n v="110750000"/>
    <n v="534429847"/>
    <n v="0.20723019236610862"/>
    <x v="0"/>
  </r>
  <r>
    <x v="3"/>
    <s v="2025"/>
    <x v="8"/>
    <n v="114450000"/>
    <n v="438202318"/>
    <n v="0.26118072702664252"/>
    <x v="0"/>
  </r>
  <r>
    <x v="1"/>
    <s v="2025"/>
    <x v="10"/>
    <n v="100685000"/>
    <n v="373180748"/>
    <n v="0.26980223535004011"/>
    <x v="0"/>
  </r>
  <r>
    <x v="4"/>
    <s v="2025"/>
    <x v="10"/>
    <n v="81770000"/>
    <n v="445304373"/>
    <n v="0.18362721086505027"/>
    <x v="0"/>
  </r>
  <r>
    <x v="2"/>
    <s v="2025"/>
    <x v="7"/>
    <n v="101630000"/>
    <n v="456018469"/>
    <n v="0.22286378054569539"/>
    <x v="0"/>
  </r>
  <r>
    <x v="2"/>
    <s v="2025"/>
    <x v="5"/>
    <n v="113150000"/>
    <n v="489501094"/>
    <n v="0.23115372240618526"/>
    <x v="0"/>
  </r>
  <r>
    <x v="0"/>
    <s v="2025"/>
    <x v="1"/>
    <n v="105900000"/>
    <n v="555825106"/>
    <n v="0.19052755778181779"/>
    <x v="0"/>
  </r>
  <r>
    <x v="1"/>
    <s v="2025"/>
    <x v="7"/>
    <n v="104315000"/>
    <n v="306727352"/>
    <n v="0.34009030925941031"/>
    <x v="0"/>
  </r>
  <r>
    <x v="4"/>
    <s v="2025"/>
    <x v="0"/>
    <n v="92620000"/>
    <n v="445304373"/>
    <n v="0.20799256781608116"/>
    <x v="0"/>
  </r>
  <r>
    <x v="3"/>
    <s v="2025"/>
    <x v="9"/>
    <n v="66890000"/>
    <n v="492394117"/>
    <n v="0.13584646463190786"/>
    <x v="0"/>
  </r>
  <r>
    <x v="2"/>
    <s v="2025"/>
    <x v="3"/>
    <n v="71005000"/>
    <n v="489501094"/>
    <n v="0.145055855585074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76D9A-A529-4E7E-959B-061666AA3CAD}" name="PivotTable1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9:E295" firstHeaderRow="1" firstDataRow="1" firstDataCol="1"/>
  <pivotFields count="7">
    <pivotField axis="axisRow" showAll="0">
      <items count="6">
        <item x="3"/>
        <item x="2"/>
        <item x="0"/>
        <item x="1"/>
        <item x="4"/>
        <item t="default"/>
      </items>
    </pivotField>
    <pivotField showAll="0"/>
    <pivotField showAll="0"/>
    <pivotField showAll="0"/>
    <pivotField showAll="0"/>
    <pivotField dataField="1" numFmtId="9" showAll="0"/>
    <pivotField showAll="0"/>
  </pivotFields>
  <rowFields count="1">
    <field x="0"/>
  </rowFields>
  <rowItems count="6">
    <i>
      <x/>
    </i>
    <i>
      <x v="1"/>
    </i>
    <i>
      <x v="2"/>
    </i>
    <i>
      <x v="3"/>
    </i>
    <i>
      <x v="4"/>
    </i>
    <i t="grand">
      <x/>
    </i>
  </rowItems>
  <colItems count="1">
    <i/>
  </colItems>
  <dataFields count="1">
    <dataField name="Average of Achievement"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05A3E5-AF21-403A-BCA1-2C230928317F}"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9:B340" firstHeaderRow="1" firstDataRow="1" firstDataCol="1"/>
  <pivotFields count="2">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Distinct Count of Customer" fld="1"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project_simulatio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F624A0-B617-41F7-A9D9-BCD6E743F317}"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6:E275"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showAll="0"/>
    <pivotField axis="axisRow" showAll="0">
      <items count="9">
        <item x="7"/>
        <item x="6"/>
        <item x="0"/>
        <item x="1"/>
        <item x="4"/>
        <item x="2"/>
        <item x="3"/>
        <item x="5"/>
        <item t="default"/>
      </items>
    </pivotField>
    <pivotField showAll="0">
      <items count="6">
        <item h="1" x="3"/>
        <item x="0"/>
        <item h="1" x="2"/>
        <item h="1" x="1"/>
        <item h="1" x="4"/>
        <item t="default"/>
      </items>
    </pivotField>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4"/>
  </rowFields>
  <rowItems count="9">
    <i>
      <x/>
    </i>
    <i>
      <x v="1"/>
    </i>
    <i>
      <x v="2"/>
    </i>
    <i>
      <x v="3"/>
    </i>
    <i>
      <x v="4"/>
    </i>
    <i>
      <x v="5"/>
    </i>
    <i>
      <x v="6"/>
    </i>
    <i>
      <x v="7"/>
    </i>
    <i t="grand">
      <x/>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FDB07-CC5E-41D6-9599-1DD4D86747C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5:C252" firstHeaderRow="1" firstDataRow="2"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axis="axisCol" showAll="0">
      <items count="51">
        <item h="1" x="3"/>
        <item h="1" x="43"/>
        <item h="1" x="2"/>
        <item h="1" x="5"/>
        <item h="1" x="48"/>
        <item h="1" x="9"/>
        <item h="1" x="30"/>
        <item h="1" x="46"/>
        <item h="1" x="36"/>
        <item h="1" x="45"/>
        <item h="1" x="33"/>
        <item h="1" x="16"/>
        <item h="1" x="29"/>
        <item h="1" x="6"/>
        <item h="1" x="7"/>
        <item h="1" x="21"/>
        <item h="1" x="39"/>
        <item h="1" x="27"/>
        <item h="1" x="18"/>
        <item h="1" x="1"/>
        <item h="1" x="13"/>
        <item h="1" x="41"/>
        <item h="1" x="32"/>
        <item h="1" x="42"/>
        <item h="1" x="26"/>
        <item h="1" x="38"/>
        <item h="1" x="19"/>
        <item h="1" x="24"/>
        <item h="1" x="17"/>
        <item h="1" x="25"/>
        <item h="1" x="20"/>
        <item h="1" x="14"/>
        <item h="1" x="0"/>
        <item h="1" x="35"/>
        <item h="1" x="44"/>
        <item h="1" x="28"/>
        <item h="1" x="37"/>
        <item h="1" x="34"/>
        <item x="8"/>
        <item h="1" x="23"/>
        <item h="1" x="40"/>
        <item h="1" x="15"/>
        <item h="1" x="47"/>
        <item h="1" x="22"/>
        <item h="1" x="12"/>
        <item h="1" x="31"/>
        <item h="1" x="10"/>
        <item h="1" x="49"/>
        <item h="1" x="4"/>
        <item h="1" x="11"/>
        <item t="default"/>
      </items>
    </pivotField>
    <pivotField showAll="0">
      <items count="9">
        <item x="7"/>
        <item x="6"/>
        <item x="0"/>
        <item x="1"/>
        <item x="4"/>
        <item x="2"/>
        <item x="3"/>
        <item x="5"/>
        <item t="default"/>
      </items>
    </pivotField>
    <pivotField showAll="0">
      <items count="6">
        <item h="1" x="3"/>
        <item x="0"/>
        <item h="1" x="2"/>
        <item h="1" x="1"/>
        <item h="1" x="4"/>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9"/>
  </rowFields>
  <rowItems count="6">
    <i>
      <x v="1"/>
    </i>
    <i>
      <x v="4"/>
    </i>
    <i>
      <x v="9"/>
    </i>
    <i>
      <x v="10"/>
    </i>
    <i>
      <x v="11"/>
    </i>
    <i t="grand">
      <x/>
    </i>
  </rowItems>
  <colFields count="1">
    <field x="3"/>
  </colFields>
  <colItems count="2">
    <i>
      <x v="38"/>
    </i>
    <i t="grand">
      <x/>
    </i>
  </colItems>
  <dataFields count="1">
    <dataField name="Sum of Total" fld="8" baseField="0" baseItem="0"/>
  </dataFields>
  <chartFormats count="4">
    <chartFormat chart="1" format="0" series="1">
      <pivotArea type="data" outline="0" fieldPosition="0">
        <references count="2">
          <reference field="4294967294" count="1" selected="0">
            <x v="0"/>
          </reference>
          <reference field="3" count="1" selected="0">
            <x v="38"/>
          </reference>
        </references>
      </pivotArea>
    </chartFormat>
    <chartFormat chart="3" format="2" series="1">
      <pivotArea type="data" outline="0" fieldPosition="0">
        <references count="2">
          <reference field="4294967294" count="1" selected="0">
            <x v="0"/>
          </reference>
          <reference field="3" count="1" selected="0">
            <x v="38"/>
          </reference>
        </references>
      </pivotArea>
    </chartFormat>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8D0FA-ADDD-43C6-8916-7C232568618B}"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59"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showAll="0"/>
    <pivotField showAll="0">
      <items count="9">
        <item x="7"/>
        <item x="6"/>
        <item x="0"/>
        <item x="1"/>
        <item x="4"/>
        <item x="2"/>
        <item x="3"/>
        <item x="5"/>
        <item t="default"/>
      </items>
    </pivotField>
    <pivotField axis="axisRow" showAll="0" sortType="descending">
      <items count="6">
        <item h="1" x="3"/>
        <item x="0"/>
        <item h="1" x="2"/>
        <item h="1" x="1"/>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5"/>
  </rowFields>
  <rowItems count="2">
    <i>
      <x v="1"/>
    </i>
    <i t="grand">
      <x/>
    </i>
  </rowItems>
  <colItems count="1">
    <i/>
  </colItems>
  <dataFields count="1">
    <dataField name="Sum of Total"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F7FC27-DA60-46B6-B56E-40A0770FFBF3}"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8:P85" firstHeaderRow="1" firstDataRow="2" firstDataCol="1" rowPageCount="1" colPageCount="1"/>
  <pivotFields count="7">
    <pivotField axis="axisRow" dataField="1" showAll="0">
      <items count="6">
        <item x="3"/>
        <item x="2"/>
        <item x="0"/>
        <item x="1"/>
        <item x="4"/>
        <item t="default"/>
      </items>
    </pivotField>
    <pivotField showAll="0"/>
    <pivotField axis="axisPage" showAll="0">
      <items count="13">
        <item x="6"/>
        <item x="8"/>
        <item x="7"/>
        <item x="10"/>
        <item x="0"/>
        <item x="1"/>
        <item x="4"/>
        <item x="9"/>
        <item x="2"/>
        <item x="3"/>
        <item x="11"/>
        <item x="5"/>
        <item t="default"/>
      </items>
    </pivotField>
    <pivotField showAll="0"/>
    <pivotField showAll="0"/>
    <pivotField numFmtId="9" showAll="0"/>
    <pivotField axis="axisCol" showAll="0">
      <items count="3">
        <item m="1" x="1"/>
        <item x="0"/>
        <item t="default"/>
      </items>
    </pivotField>
  </pivotFields>
  <rowFields count="1">
    <field x="0"/>
  </rowFields>
  <rowItems count="6">
    <i>
      <x/>
    </i>
    <i>
      <x v="1"/>
    </i>
    <i>
      <x v="2"/>
    </i>
    <i>
      <x v="3"/>
    </i>
    <i>
      <x v="4"/>
    </i>
    <i t="grand">
      <x/>
    </i>
  </rowItems>
  <colFields count="1">
    <field x="6"/>
  </colFields>
  <colItems count="2">
    <i>
      <x v="1"/>
    </i>
    <i t="grand">
      <x/>
    </i>
  </colItems>
  <pageFields count="1">
    <pageField fld="2" hier="-1"/>
  </pageFields>
  <dataFields count="1">
    <dataField name="Count of Salesma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F9DCF-831C-4215-90F7-2E6413F7248B}"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9:O95" firstHeaderRow="1" firstDataRow="1" firstDataCol="1"/>
  <pivotFields count="7">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showAll="0"/>
  </pivotFields>
  <rowFields count="1">
    <field x="0"/>
  </rowFields>
  <rowItems count="6">
    <i>
      <x v="4"/>
    </i>
    <i>
      <x v="2"/>
    </i>
    <i>
      <x v="3"/>
    </i>
    <i>
      <x v="1"/>
    </i>
    <i>
      <x/>
    </i>
    <i t="grand">
      <x/>
    </i>
  </rowItems>
  <colItems count="1">
    <i/>
  </colItems>
  <dataFields count="1">
    <dataField name="Average of Achievement"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1BC02F-EF67-4FCB-9721-44431E23AD45}"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50"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showAll="0"/>
    <pivotField axis="axisRow" showAll="0" sortType="descending">
      <items count="9">
        <item x="7"/>
        <item x="6"/>
        <item x="0"/>
        <item x="1"/>
        <item x="4"/>
        <item x="2"/>
        <item x="3"/>
        <item x="5"/>
        <item t="default"/>
      </items>
      <autoSortScope>
        <pivotArea dataOnly="0" outline="0" fieldPosition="0">
          <references count="1">
            <reference field="4294967294" count="1" selected="0">
              <x v="0"/>
            </reference>
          </references>
        </pivotArea>
      </autoSortScope>
    </pivotField>
    <pivotField showAll="0">
      <items count="6">
        <item h="1" x="3"/>
        <item x="0"/>
        <item h="1" x="2"/>
        <item h="1" x="1"/>
        <item h="1" x="4"/>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4"/>
  </rowFields>
  <rowItems count="9">
    <i>
      <x v="6"/>
    </i>
    <i>
      <x v="4"/>
    </i>
    <i>
      <x v="2"/>
    </i>
    <i>
      <x v="3"/>
    </i>
    <i>
      <x v="5"/>
    </i>
    <i>
      <x/>
    </i>
    <i>
      <x v="1"/>
    </i>
    <i>
      <x v="7"/>
    </i>
    <i t="grand">
      <x/>
    </i>
  </rowItems>
  <colItems count="1">
    <i/>
  </colItems>
  <dataFields count="1">
    <dataField name="Sum of Total"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3ACC09-F358-46D9-876D-D729BB958621}" name="PivotTable9"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8:D92" firstHeaderRow="1" firstDataRow="1" firstDataCol="3"/>
  <pivotFields count="11">
    <pivotField compact="0" numFmtId="164" outline="0"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9">
        <item x="7"/>
        <item x="6"/>
        <item x="0"/>
        <item x="1"/>
        <item x="4"/>
        <item x="2"/>
        <item x="3"/>
        <item x="5"/>
        <item t="default"/>
      </items>
      <extLst>
        <ext xmlns:x14="http://schemas.microsoft.com/office/spreadsheetml/2009/9/main" uri="{2946ED86-A175-432a-8AC1-64E0C546D7DE}">
          <x14:pivotField fillDownLabels="1"/>
        </ext>
      </extLst>
    </pivotField>
    <pivotField axis="axisRow" compact="0" outline="0" showAll="0">
      <items count="6">
        <item h="1" x="3"/>
        <item x="0"/>
        <item h="1" x="2"/>
        <item h="1" x="1"/>
        <item h="1" x="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name="Month"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name="Years " axis="axisRow"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5"/>
    <field x="10"/>
    <field x="9"/>
  </rowFields>
  <rowItems count="14">
    <i>
      <x v="1"/>
      <x v="1"/>
      <x v="1"/>
    </i>
    <i r="2">
      <x v="2"/>
    </i>
    <i r="2">
      <x v="3"/>
    </i>
    <i r="2">
      <x v="4"/>
    </i>
    <i r="2">
      <x v="5"/>
    </i>
    <i r="2">
      <x v="6"/>
    </i>
    <i r="2">
      <x v="7"/>
    </i>
    <i r="2">
      <x v="8"/>
    </i>
    <i r="2">
      <x v="9"/>
    </i>
    <i r="2">
      <x v="10"/>
    </i>
    <i r="2">
      <x v="11"/>
    </i>
    <i r="2">
      <x v="12"/>
    </i>
    <i t="default">
      <x v="1"/>
    </i>
    <i t="grand">
      <x/>
    </i>
  </rowItems>
  <colItems count="1">
    <i/>
  </colItems>
  <dataFields count="1">
    <dataField name="Actual" fld="8"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C87332-B44B-45D6-B113-7CBEF2055957}"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29"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items count="9">
        <item x="7"/>
        <item x="6"/>
        <item x="0"/>
        <item x="1"/>
        <item x="4"/>
        <item x="2"/>
        <item x="3"/>
        <item x="5"/>
        <item t="default"/>
      </items>
    </pivotField>
    <pivotField showAll="0">
      <items count="6">
        <item h="1" x="3"/>
        <item x="0"/>
        <item h="1" x="2"/>
        <item h="1" x="1"/>
        <item h="1" x="4"/>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5">
    <i>
      <x v="2"/>
    </i>
    <i>
      <x/>
    </i>
    <i>
      <x v="1"/>
    </i>
    <i>
      <x v="3"/>
    </i>
    <i t="grand">
      <x/>
    </i>
  </rowItems>
  <colItems count="1">
    <i/>
  </colItems>
  <dataFields count="1">
    <dataField name="Sum of Total"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11F641-C35D-4700-8587-E8D6F9A94959}" name="PivotTable1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86:E235" firstHeaderRow="1" firstDataRow="1" firstDataCol="2"/>
  <pivotFields count="11">
    <pivotField compact="0" numFmtId="164" outline="0"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compact="0" outline="0" showAll="0"/>
    <pivotField compact="0" outline="0" showAll="0"/>
    <pivotField axis="axisRow" compact="0" outline="0" showAll="0">
      <items count="51">
        <item sd="0" x="3"/>
        <item sd="0" x="43"/>
        <item sd="0" x="2"/>
        <item sd="0" x="5"/>
        <item sd="0" x="48"/>
        <item sd="0" x="9"/>
        <item sd="0" x="30"/>
        <item sd="0" x="46"/>
        <item sd="0" x="36"/>
        <item sd="0" x="45"/>
        <item sd="0" x="33"/>
        <item sd="0" x="16"/>
        <item sd="0" x="29"/>
        <item sd="0" x="6"/>
        <item sd="0" x="7"/>
        <item sd="0" x="21"/>
        <item sd="0" x="39"/>
        <item sd="0" x="27"/>
        <item sd="0" x="18"/>
        <item sd="0" x="1"/>
        <item sd="0" x="13"/>
        <item sd="0" x="41"/>
        <item sd="0" x="32"/>
        <item sd="0" x="42"/>
        <item sd="0" x="26"/>
        <item sd="0" x="38"/>
        <item sd="0" x="19"/>
        <item sd="0" x="24"/>
        <item sd="0" x="17"/>
        <item sd="0" x="25"/>
        <item sd="0" x="20"/>
        <item sd="0" x="14"/>
        <item sd="0" x="0"/>
        <item sd="0" x="35"/>
        <item sd="0" x="44"/>
        <item sd="0" x="28"/>
        <item sd="0" x="37"/>
        <item sd="0" x="34"/>
        <item sd="0" x="8"/>
        <item sd="0" x="23"/>
        <item sd="0" x="40"/>
        <item sd="0" x="15"/>
        <item sd="0" x="47"/>
        <item sd="0" x="22"/>
        <item sd="0" x="12"/>
        <item sd="0" x="31"/>
        <item sd="0" x="10"/>
        <item sd="0" x="49"/>
        <item sd="0" x="4"/>
        <item sd="0" x="11"/>
        <item t="default"/>
      </items>
    </pivotField>
    <pivotField compact="0" outline="0" showAll="0">
      <items count="9">
        <item x="7"/>
        <item x="6"/>
        <item x="0"/>
        <item x="1"/>
        <item x="4"/>
        <item x="2"/>
        <item x="3"/>
        <item x="5"/>
        <item t="default"/>
      </items>
    </pivotField>
    <pivotField compact="0" outline="0" showAll="0">
      <items count="6">
        <item h="1" x="3"/>
        <item x="0"/>
        <item h="1" x="2"/>
        <item h="1" x="1"/>
        <item h="1" x="4"/>
        <item t="default"/>
      </items>
    </pivotField>
    <pivotField compact="0" outline="0" showAll="0"/>
    <pivotField compact="0" outline="0" showAll="0"/>
    <pivotField dataField="1" compact="0" outline="0" showAll="0"/>
    <pivotField axis="axisRow" compact="0" outline="0" showAll="0" sortType="de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compact="0" outline="0" showAll="0" defaultSubtotal="0">
      <items count="4">
        <item x="0"/>
        <item x="1"/>
        <item x="2"/>
        <item x="3"/>
      </items>
    </pivotField>
  </pivotFields>
  <rowFields count="2">
    <field x="3"/>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x v="39"/>
    </i>
    <i>
      <x v="41"/>
    </i>
    <i>
      <x v="42"/>
    </i>
    <i>
      <x v="43"/>
    </i>
    <i>
      <x v="44"/>
    </i>
    <i>
      <x v="45"/>
    </i>
    <i>
      <x v="46"/>
    </i>
    <i>
      <x v="47"/>
    </i>
    <i>
      <x v="48"/>
    </i>
    <i>
      <x v="49"/>
    </i>
    <i t="grand">
      <x/>
    </i>
  </rowItems>
  <colItems count="1">
    <i/>
  </colItems>
  <dataFields count="1">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DFEAC4-68EB-4E6A-8FB2-748610A8155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showAll="0"/>
    <pivotField showAll="0">
      <items count="9">
        <item x="7"/>
        <item x="6"/>
        <item x="0"/>
        <item x="1"/>
        <item x="4"/>
        <item x="2"/>
        <item x="3"/>
        <item x="5"/>
        <item t="default"/>
      </items>
    </pivotField>
    <pivotField showAll="0">
      <items count="6">
        <item h="1" x="3"/>
        <item x="0"/>
        <item h="1" x="2"/>
        <item h="1" x="1"/>
        <item h="1" x="4"/>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0"/>
    <field x="9"/>
  </rowFields>
  <rowItems count="14">
    <i>
      <x v="1"/>
    </i>
    <i r="1">
      <x v="1"/>
    </i>
    <i r="1">
      <x v="2"/>
    </i>
    <i r="1">
      <x v="3"/>
    </i>
    <i r="1">
      <x v="4"/>
    </i>
    <i r="1">
      <x v="5"/>
    </i>
    <i r="1">
      <x v="6"/>
    </i>
    <i r="1">
      <x v="7"/>
    </i>
    <i r="1">
      <x v="8"/>
    </i>
    <i r="1">
      <x v="9"/>
    </i>
    <i r="1">
      <x v="10"/>
    </i>
    <i r="1">
      <x v="11"/>
    </i>
    <i r="1">
      <x v="12"/>
    </i>
    <i t="grand">
      <x/>
    </i>
  </rowItems>
  <colItems count="1">
    <i/>
  </colItems>
  <dataFields count="1">
    <dataField name="Sum of Total"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A6F04F8-CB82-48CE-A059-866709F3AFC4}" name="PivotTable5"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N101:Q167" firstHeaderRow="0" firstDataRow="1" firstDataCol="2"/>
  <pivotFields count="7">
    <pivotField axis="axisRow" compact="0" outline="0" showAll="0">
      <items count="6">
        <item x="3"/>
        <item x="2"/>
        <item x="0"/>
        <item x="1"/>
        <item x="4"/>
        <item t="default"/>
      </items>
    </pivotField>
    <pivotField compact="0" outline="0" showAll="0"/>
    <pivotField axis="axisRow" compact="0" outline="0" showAll="0">
      <items count="13">
        <item x="6"/>
        <item x="8"/>
        <item x="7"/>
        <item x="10"/>
        <item x="0"/>
        <item x="1"/>
        <item x="4"/>
        <item x="9"/>
        <item x="2"/>
        <item x="3"/>
        <item x="11"/>
        <item x="5"/>
        <item t="default"/>
      </items>
    </pivotField>
    <pivotField dataField="1" compact="0" outline="0" showAll="0"/>
    <pivotField dataField="1" compact="0" outline="0" showAll="0"/>
    <pivotField compact="0" numFmtId="9" outline="0" showAll="0"/>
    <pivotField compact="0" outline="0" showAll="0"/>
  </pivotFields>
  <rowFields count="2">
    <field x="0"/>
    <field x="2"/>
  </rowFields>
  <rowItems count="66">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r="1">
      <x v="3"/>
    </i>
    <i r="1">
      <x v="4"/>
    </i>
    <i r="1">
      <x v="5"/>
    </i>
    <i r="1">
      <x v="6"/>
    </i>
    <i r="1">
      <x v="7"/>
    </i>
    <i r="1">
      <x v="8"/>
    </i>
    <i r="1">
      <x v="9"/>
    </i>
    <i r="1">
      <x v="10"/>
    </i>
    <i r="1">
      <x v="11"/>
    </i>
    <i t="default">
      <x v="4"/>
    </i>
    <i t="grand">
      <x/>
    </i>
  </rowItems>
  <colFields count="1">
    <field x="-2"/>
  </colFields>
  <colItems count="2">
    <i>
      <x/>
    </i>
    <i i="1">
      <x v="1"/>
    </i>
  </colItems>
  <dataFields count="2">
    <dataField name="Sum of Actual" fld="3" baseField="0" baseItem="0"/>
    <dataField name="Sum of Target" fld="4" baseField="0" baseItem="0"/>
  </dataFields>
  <formats count="1">
    <format dxfId="7">
      <pivotArea dataOnly="0" labelOnly="1" outline="0" fieldPosition="0">
        <references count="2">
          <reference field="0" count="1" selected="0">
            <x v="0"/>
          </reference>
          <reference field="2"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D56048-E1F5-49F4-BFB0-9935D8889F87}"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6:B280" firstHeaderRow="1" firstDataRow="1" firstDataCol="1"/>
  <pivotFields count="11">
    <pivotField numFmtId="164" showAll="0">
      <items count="353">
        <item x="334"/>
        <item x="251"/>
        <item x="73"/>
        <item x="221"/>
        <item x="37"/>
        <item x="153"/>
        <item x="173"/>
        <item x="69"/>
        <item x="128"/>
        <item x="232"/>
        <item x="225"/>
        <item x="155"/>
        <item x="320"/>
        <item x="23"/>
        <item x="151"/>
        <item x="66"/>
        <item x="113"/>
        <item x="195"/>
        <item x="220"/>
        <item x="198"/>
        <item x="350"/>
        <item x="30"/>
        <item x="138"/>
        <item x="256"/>
        <item x="42"/>
        <item x="277"/>
        <item x="337"/>
        <item x="306"/>
        <item x="72"/>
        <item x="240"/>
        <item x="301"/>
        <item x="285"/>
        <item x="118"/>
        <item x="74"/>
        <item x="307"/>
        <item x="84"/>
        <item x="170"/>
        <item x="213"/>
        <item x="18"/>
        <item x="330"/>
        <item x="163"/>
        <item x="295"/>
        <item x="228"/>
        <item x="253"/>
        <item x="230"/>
        <item x="175"/>
        <item x="29"/>
        <item x="313"/>
        <item x="231"/>
        <item x="1"/>
        <item x="174"/>
        <item x="176"/>
        <item x="246"/>
        <item x="109"/>
        <item x="200"/>
        <item x="329"/>
        <item x="159"/>
        <item x="298"/>
        <item x="13"/>
        <item x="314"/>
        <item x="116"/>
        <item x="34"/>
        <item x="272"/>
        <item x="60"/>
        <item x="274"/>
        <item x="68"/>
        <item x="114"/>
        <item x="62"/>
        <item x="28"/>
        <item x="204"/>
        <item x="291"/>
        <item x="305"/>
        <item x="282"/>
        <item x="63"/>
        <item x="115"/>
        <item x="131"/>
        <item x="148"/>
        <item x="293"/>
        <item x="43"/>
        <item x="331"/>
        <item x="321"/>
        <item x="199"/>
        <item x="188"/>
        <item x="182"/>
        <item x="318"/>
        <item x="49"/>
        <item x="157"/>
        <item x="161"/>
        <item x="7"/>
        <item x="326"/>
        <item x="0"/>
        <item x="92"/>
        <item x="342"/>
        <item x="296"/>
        <item x="248"/>
        <item x="189"/>
        <item x="349"/>
        <item x="76"/>
        <item x="54"/>
        <item x="152"/>
        <item x="101"/>
        <item x="9"/>
        <item x="4"/>
        <item x="169"/>
        <item x="280"/>
        <item x="223"/>
        <item x="343"/>
        <item x="332"/>
        <item x="279"/>
        <item x="315"/>
        <item x="50"/>
        <item x="260"/>
        <item x="300"/>
        <item x="242"/>
        <item x="121"/>
        <item x="264"/>
        <item x="3"/>
        <item x="273"/>
        <item x="82"/>
        <item x="127"/>
        <item x="259"/>
        <item x="284"/>
        <item x="184"/>
        <item x="304"/>
        <item x="77"/>
        <item x="339"/>
        <item x="241"/>
        <item x="187"/>
        <item x="215"/>
        <item x="87"/>
        <item x="86"/>
        <item x="150"/>
        <item x="179"/>
        <item x="46"/>
        <item x="316"/>
        <item x="27"/>
        <item x="310"/>
        <item x="209"/>
        <item x="319"/>
        <item x="344"/>
        <item x="202"/>
        <item x="317"/>
        <item x="111"/>
        <item x="192"/>
        <item x="81"/>
        <item x="137"/>
        <item x="341"/>
        <item x="38"/>
        <item x="234"/>
        <item x="112"/>
        <item x="351"/>
        <item x="123"/>
        <item x="106"/>
        <item x="283"/>
        <item x="58"/>
        <item x="140"/>
        <item x="275"/>
        <item x="249"/>
        <item x="51"/>
        <item x="203"/>
        <item x="167"/>
        <item x="258"/>
        <item x="124"/>
        <item x="8"/>
        <item x="59"/>
        <item x="172"/>
        <item x="71"/>
        <item x="266"/>
        <item x="12"/>
        <item x="103"/>
        <item x="201"/>
        <item x="286"/>
        <item x="252"/>
        <item x="2"/>
        <item x="269"/>
        <item x="226"/>
        <item x="186"/>
        <item x="110"/>
        <item x="335"/>
        <item x="348"/>
        <item x="165"/>
        <item x="227"/>
        <item x="309"/>
        <item x="281"/>
        <item x="139"/>
        <item x="75"/>
        <item x="55"/>
        <item x="143"/>
        <item x="289"/>
        <item x="263"/>
        <item x="144"/>
        <item x="48"/>
        <item x="205"/>
        <item x="70"/>
        <item x="40"/>
        <item x="265"/>
        <item x="133"/>
        <item x="88"/>
        <item x="207"/>
        <item x="156"/>
        <item x="294"/>
        <item x="16"/>
        <item x="97"/>
        <item x="322"/>
        <item x="229"/>
        <item x="276"/>
        <item x="255"/>
        <item x="10"/>
        <item x="177"/>
        <item x="61"/>
        <item x="268"/>
        <item x="52"/>
        <item x="93"/>
        <item x="239"/>
        <item x="190"/>
        <item x="244"/>
        <item x="336"/>
        <item x="56"/>
        <item x="311"/>
        <item x="181"/>
        <item x="91"/>
        <item x="108"/>
        <item x="22"/>
        <item x="235"/>
        <item x="41"/>
        <item x="31"/>
        <item x="261"/>
        <item x="222"/>
        <item x="171"/>
        <item x="238"/>
        <item x="243"/>
        <item x="100"/>
        <item x="102"/>
        <item x="217"/>
        <item x="136"/>
        <item x="288"/>
        <item x="33"/>
        <item x="65"/>
        <item x="125"/>
        <item x="302"/>
        <item x="105"/>
        <item x="325"/>
        <item x="90"/>
        <item x="67"/>
        <item x="327"/>
        <item x="267"/>
        <item x="164"/>
        <item x="323"/>
        <item x="132"/>
        <item x="35"/>
        <item x="94"/>
        <item x="290"/>
        <item x="95"/>
        <item x="185"/>
        <item x="166"/>
        <item x="197"/>
        <item x="142"/>
        <item x="39"/>
        <item x="47"/>
        <item x="158"/>
        <item x="20"/>
        <item x="210"/>
        <item x="135"/>
        <item x="145"/>
        <item x="15"/>
        <item x="212"/>
        <item x="134"/>
        <item x="85"/>
        <item x="328"/>
        <item x="141"/>
        <item x="278"/>
        <item x="297"/>
        <item x="117"/>
        <item x="11"/>
        <item x="183"/>
        <item x="21"/>
        <item x="270"/>
        <item x="208"/>
        <item x="180"/>
        <item x="120"/>
        <item x="308"/>
        <item x="237"/>
        <item x="254"/>
        <item x="129"/>
        <item x="178"/>
        <item x="24"/>
        <item x="160"/>
        <item x="104"/>
        <item x="236"/>
        <item x="107"/>
        <item x="89"/>
        <item x="36"/>
        <item x="146"/>
        <item x="79"/>
        <item x="214"/>
        <item x="292"/>
        <item x="78"/>
        <item x="347"/>
        <item x="333"/>
        <item x="247"/>
        <item x="44"/>
        <item x="211"/>
        <item x="345"/>
        <item x="19"/>
        <item x="271"/>
        <item x="122"/>
        <item x="32"/>
        <item x="287"/>
        <item x="80"/>
        <item x="206"/>
        <item x="96"/>
        <item x="233"/>
        <item x="168"/>
        <item x="147"/>
        <item x="338"/>
        <item x="245"/>
        <item x="194"/>
        <item x="26"/>
        <item x="196"/>
        <item x="64"/>
        <item x="340"/>
        <item x="299"/>
        <item x="6"/>
        <item x="17"/>
        <item x="45"/>
        <item x="98"/>
        <item x="262"/>
        <item x="216"/>
        <item x="303"/>
        <item x="154"/>
        <item x="130"/>
        <item x="346"/>
        <item x="224"/>
        <item x="5"/>
        <item x="312"/>
        <item x="99"/>
        <item x="219"/>
        <item x="162"/>
        <item x="14"/>
        <item x="218"/>
        <item x="257"/>
        <item x="57"/>
        <item x="149"/>
        <item x="53"/>
        <item x="191"/>
        <item x="25"/>
        <item x="193"/>
        <item x="250"/>
        <item x="119"/>
        <item x="324"/>
        <item x="126"/>
        <item x="83"/>
        <item t="default"/>
      </items>
    </pivotField>
    <pivotField showAll="0"/>
    <pivotField showAll="0"/>
    <pivotField showAll="0"/>
    <pivotField showAll="0">
      <items count="9">
        <item x="7"/>
        <item x="6"/>
        <item x="0"/>
        <item x="1"/>
        <item x="4"/>
        <item x="2"/>
        <item x="3"/>
        <item x="5"/>
        <item t="default"/>
      </items>
    </pivotField>
    <pivotField showAll="0">
      <items count="6">
        <item h="1" x="3"/>
        <item x="0"/>
        <item h="1" x="2"/>
        <item h="1" x="1"/>
        <item h="1" x="4"/>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4">
        <item sd="0" x="0"/>
        <item x="1"/>
        <item sd="0" x="2"/>
        <item sd="0" x="3"/>
      </items>
    </pivotField>
  </pivotFields>
  <rowFields count="2">
    <field x="10"/>
    <field x="9"/>
  </rowFields>
  <rowItems count="14">
    <i>
      <x v="1"/>
    </i>
    <i r="1">
      <x v="1"/>
    </i>
    <i r="1">
      <x v="2"/>
    </i>
    <i r="1">
      <x v="3"/>
    </i>
    <i r="1">
      <x v="4"/>
    </i>
    <i r="1">
      <x v="5"/>
    </i>
    <i r="1">
      <x v="6"/>
    </i>
    <i r="1">
      <x v="7"/>
    </i>
    <i r="1">
      <x v="8"/>
    </i>
    <i r="1">
      <x v="9"/>
    </i>
    <i r="1">
      <x v="10"/>
    </i>
    <i r="1">
      <x v="11"/>
    </i>
    <i r="1">
      <x v="12"/>
    </i>
    <i t="grand">
      <x/>
    </i>
  </rowItems>
  <colItems count="1">
    <i/>
  </colItems>
  <dataFields count="1">
    <dataField name="Sum of Total"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B470C5-7838-41F0-A407-FDF7168C77EB}"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0:Q56" firstHeaderRow="1" firstDataRow="1" firstDataCol="1"/>
  <pivotFields count="7">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9" showAll="0"/>
    <pivotField showAll="0"/>
  </pivotFields>
  <rowFields count="1">
    <field x="0"/>
  </rowFields>
  <rowItems count="6">
    <i>
      <x v="4"/>
    </i>
    <i>
      <x v="2"/>
    </i>
    <i>
      <x v="3"/>
    </i>
    <i>
      <x v="1"/>
    </i>
    <i>
      <x/>
    </i>
    <i t="grand">
      <x/>
    </i>
  </rowItems>
  <colItems count="1">
    <i/>
  </colItems>
  <dataFields count="1">
    <dataField name="Average of Achievement"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039C732-B0BD-4592-B0FA-20932DA1AB23}" sourceName="City">
  <pivotTables>
    <pivotTable tabId="5" name="PivotTable7"/>
    <pivotTable tabId="5" name="PivotTable1"/>
    <pivotTable tabId="5" name="PivotTable11"/>
    <pivotTable tabId="5" name="PivotTable12"/>
    <pivotTable tabId="5" name="PivotTable2"/>
    <pivotTable tabId="5" name="PivotTable6"/>
    <pivotTable tabId="5" name="PivotTable8"/>
    <pivotTable tabId="5" name="PivotTable9"/>
    <pivotTable tabId="5" name="PivotTable10"/>
  </pivotTables>
  <data>
    <tabular pivotCacheId="643272826">
      <items count="8">
        <i x="7" s="1"/>
        <i x="6" s="1"/>
        <i x="0" s="1"/>
        <i x="1" s="1"/>
        <i x="4"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07A280E-8047-4656-B0B2-6CCBC36A52AE}" sourceName="Months (Date)">
  <pivotTables>
    <pivotTable tabId="5" name="PivotTable7"/>
    <pivotTable tabId="5" name="PivotTable1"/>
    <pivotTable tabId="5" name="PivotTable11"/>
    <pivotTable tabId="5" name="PivotTable12"/>
    <pivotTable tabId="5" name="PivotTable2"/>
    <pivotTable tabId="5" name="PivotTable6"/>
    <pivotTable tabId="5" name="PivotTable8"/>
    <pivotTable tabId="5" name="PivotTable9"/>
    <pivotTable tabId="5" name="PivotTable10"/>
  </pivotTables>
  <data>
    <tabular pivotCacheId="64327282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52C28107-8B59-4F76-9C52-110FA4F74C3D}" sourceName="Salesman">
  <pivotTables>
    <pivotTable tabId="5" name="PivotTable7"/>
    <pivotTable tabId="5" name="PivotTable1"/>
    <pivotTable tabId="5" name="PivotTable10"/>
    <pivotTable tabId="5" name="PivotTable11"/>
    <pivotTable tabId="5" name="PivotTable12"/>
    <pivotTable tabId="5" name="PivotTable2"/>
    <pivotTable tabId="5" name="PivotTable6"/>
    <pivotTable tabId="5" name="PivotTable8"/>
    <pivotTable tabId="5" name="PivotTable9"/>
  </pivotTables>
  <data>
    <tabular pivotCacheId="643272826">
      <items count="5">
        <i x="3"/>
        <i x="0" s="1"/>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4A0AC05-7A05-4438-B8B3-2BFC8B195484}" cache="Slicer_City" caption="City" rowHeight="234950"/>
  <slicer name="Months (Date)" xr10:uid="{FB5F4F61-4AC9-4981-AD4C-AF3A5BCE642D}" cache="Slicer_Months__Date" caption="Months (Date)" rowHeight="234950"/>
  <slicer name="Salesman" xr10:uid="{01DEBFEC-CAD4-432C-AD17-EB4EE47F8426}" cache="Slicer_Salesman" caption="Salesma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DB89-4523-4E9D-834F-3608C651FBEF}" name="Table1" displayName="Table1" ref="A1:I1201" totalsRowShown="0">
  <autoFilter ref="A1:I1201" xr:uid="{D0CDDB89-4523-4E9D-834F-3608C651FBEF}"/>
  <sortState xmlns:xlrd2="http://schemas.microsoft.com/office/spreadsheetml/2017/richdata2" ref="A2:I1201">
    <sortCondition ref="G1:G1201"/>
  </sortState>
  <tableColumns count="9">
    <tableColumn id="1" xr3:uid="{A9A5FA5B-EF4F-434F-A766-0A992898DC55}" name="Date" dataDxfId="8"/>
    <tableColumn id="2" xr3:uid="{96D4E44A-BE49-4B97-B335-1E63B2A14FBB}" name="Invoice"/>
    <tableColumn id="3" xr3:uid="{1ED7262A-1772-4C55-A260-9D66F5F93926}" name="Product"/>
    <tableColumn id="4" xr3:uid="{9D6EA541-5E82-43F4-88CE-C645FA69A364}" name="Customer"/>
    <tableColumn id="5" xr3:uid="{A7D63DA3-DB8C-49F4-B260-FD2AD8E4C1BC}" name="City"/>
    <tableColumn id="6" xr3:uid="{53C6DA0F-D69C-4D6A-8680-451E6F443E17}" name="Salesman"/>
    <tableColumn id="7" xr3:uid="{9FCEB697-5D4E-4D24-8C69-43C613E0C85E}" name="Qty"/>
    <tableColumn id="8" xr3:uid="{DCE7CFE1-A214-460E-BCBF-711317EBDDBC}" name="Price"/>
    <tableColumn id="9" xr3:uid="{FC7C11E0-5549-4ACC-98D9-B43C7269C13A}" name="Tot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D718A2-8CA9-4D3D-B277-52A2FF1DAC7B}" name="Table3" displayName="Table3" ref="A1:C61" totalsRowShown="0">
  <autoFilter ref="A1:C61" xr:uid="{2CD718A2-8CA9-4D3D-B277-52A2FF1DAC7B}"/>
  <tableColumns count="3">
    <tableColumn id="1" xr3:uid="{CF3024FD-6E78-467A-A70B-345909D3448D}" name="Month"/>
    <tableColumn id="2" xr3:uid="{F56C146D-3197-4F50-A2D3-4FCC5254DAB3}" name="Salesman"/>
    <tableColumn id="3" xr3:uid="{95A79D3F-27F8-43C5-9F1D-331950122343}" name="Targe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562331-8242-456D-996A-F5FB8A86B81D}" name="Table5" displayName="Table5" ref="A1:D5" totalsRowShown="0">
  <autoFilter ref="A1:D5" xr:uid="{30562331-8242-456D-996A-F5FB8A86B81D}"/>
  <tableColumns count="4">
    <tableColumn id="1" xr3:uid="{5385CFFF-4470-408C-9C16-4754A9520873}" name="ProductID"/>
    <tableColumn id="2" xr3:uid="{D4E2E527-2D5F-4DF4-946A-D853475EBC61}" name="ProductName"/>
    <tableColumn id="3" xr3:uid="{795185E1-A2CE-4496-92EF-51BBB7FC42EB}" name="Category"/>
    <tableColumn id="4" xr3:uid="{0838EB49-B271-4382-B9C7-2D87D1A498E6}" name="Pric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CFE7D3-D1EE-4453-A4E4-F070FFF40AEF}" name="Table2" displayName="Table2" ref="A1:D51" totalsRowShown="0">
  <autoFilter ref="A1:D51" xr:uid="{84CFE7D3-D1EE-4453-A4E4-F070FFF40AEF}"/>
  <tableColumns count="4">
    <tableColumn id="1" xr3:uid="{BFE59A2A-F421-419B-ADE1-2FA70A22E3A0}" name="CustomerID"/>
    <tableColumn id="2" xr3:uid="{FB768768-D2BB-4ABC-820B-FB8FC011DDEF}" name="CustomerName"/>
    <tableColumn id="3" xr3:uid="{CDB074AC-3E12-4E2C-AC6E-8FEF52745912}" name="City"/>
    <tableColumn id="4" xr3:uid="{927737FF-EF90-488D-8833-16F4CDCDFB54}" name="Segm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A543F9-F63F-40FF-A27D-0FD32122D9D4}" name="Table4" displayName="Table4" ref="F78:L138" totalsRowShown="0">
  <autoFilter ref="F78:L138" xr:uid="{93A543F9-F63F-40FF-A27D-0FD32122D9D4}">
    <filterColumn colId="0">
      <filters>
        <filter val="Sari"/>
      </filters>
    </filterColumn>
  </autoFilter>
  <sortState xmlns:xlrd2="http://schemas.microsoft.com/office/spreadsheetml/2017/richdata2" ref="F86:L136">
    <sortCondition descending="1" ref="I78:I138"/>
  </sortState>
  <tableColumns count="7">
    <tableColumn id="1" xr3:uid="{7CE53638-7B00-498F-A88C-9C766FE09147}" name="Salesman"/>
    <tableColumn id="2" xr3:uid="{5288F333-8E6B-4720-AEC7-5AE8BB1A22D3}" name="Years"/>
    <tableColumn id="3" xr3:uid="{5F0C2CD3-A58C-400F-968E-C99AEC905B3A}" name="Month"/>
    <tableColumn id="4" xr3:uid="{F2F3E820-F69E-45E8-B13C-637CB3E9E1DD}" name="Actual"/>
    <tableColumn id="5" xr3:uid="{1549CBBE-7B98-4E77-975C-909D6B960C1D}" name="Target" dataDxfId="6">
      <calculatedColumnFormula array="1">INDEX(targets!C:C,
 MATCH(1,
  (targets!A:A='Data Olahan'!H79)*(targets!B:B=F79),
  0
 )
)</calculatedColumnFormula>
    </tableColumn>
    <tableColumn id="6" xr3:uid="{CBE4F38C-8E1B-4DF4-9BBA-48014CD8FAAA}" name="Achievement" dataDxfId="5" dataCellStyle="Percent">
      <calculatedColumnFormula>IFERROR(I79/J79,0)</calculatedColumnFormula>
    </tableColumn>
    <tableColumn id="7" xr3:uid="{D37619E6-3106-4E95-AD54-46CC32732A6C}" name="Status" dataDxfId="4">
      <calculatedColumnFormula>IF(K79&gt;=1,"Achieved","Not Achieved")</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1C1966-2884-4775-B3D6-9D19D383E9AE}" name="Table6" displayName="Table6" ref="G186:I236" totalsRowShown="0">
  <autoFilter ref="G186:I236" xr:uid="{AF1C1966-2884-4775-B3D6-9D19D383E9AE}"/>
  <sortState xmlns:xlrd2="http://schemas.microsoft.com/office/spreadsheetml/2017/richdata2" ref="G187:I236">
    <sortCondition ref="I186:I236"/>
  </sortState>
  <tableColumns count="3">
    <tableColumn id="1" xr3:uid="{1F6D10BF-01AC-425B-8D7C-962E67EF3D80}" name="Customer"/>
    <tableColumn id="2" xr3:uid="{D35920E9-CD7B-4874-A125-6B86058A0CB8}" name=" Total_Actual"/>
    <tableColumn id="3" xr3:uid="{53282305-B784-49DE-A19E-50BF3AC5F2FD}" name="Rank" dataDxfId="3">
      <calculatedColumnFormula>RANK(H187, H:H, 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2971AE-254B-4D08-AC50-7FD8B3714953}" name="Table7" displayName="Table7" ref="K186:M191" totalsRowShown="0">
  <autoFilter ref="K186:M191" xr:uid="{E92971AE-254B-4D08-AC50-7FD8B3714953}"/>
  <tableColumns count="3">
    <tableColumn id="1" xr3:uid="{69CBB66E-82A8-4F8D-A269-D233C49D2BE7}" name="Customer"/>
    <tableColumn id="2" xr3:uid="{11235928-CA8C-4B34-948A-4BF8A4A6501E}" name=" Total_Actual"/>
    <tableColumn id="3" xr3:uid="{D2F49BBE-E243-427B-BDEB-4507B4324EAC}" name="Rank"/>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3A464BC-B677-49F9-8EAF-38B72D563582}" name="Table12" displayName="Table12" ref="A1:E17" totalsRowShown="0">
  <autoFilter ref="A1:E17" xr:uid="{F3A464BC-B677-49F9-8EAF-38B72D563582}"/>
  <tableColumns count="5">
    <tableColumn id="1" xr3:uid="{E911ACE0-B9C2-40AC-A26E-BFCFEA38651B}" name="Timeline" dataDxfId="2"/>
    <tableColumn id="2" xr3:uid="{26534591-C28A-4274-A587-AF30AACC05A6}" name="Values"/>
    <tableColumn id="3" xr3:uid="{36E44401-68EE-4262-A1CD-E8C23A4D31FA}" name="Forecast">
      <calculatedColumnFormula>_xlfn.FORECAST.ETS(A2,$B$2:$B$13,$A$2:$A$13,1,1)</calculatedColumnFormula>
    </tableColumn>
    <tableColumn id="4" xr3:uid="{919CF1AB-BE64-43B9-BF8C-8FE33FEB3308}" name="Lower Confidence Bound" dataDxfId="1">
      <calculatedColumnFormula>C2-_xlfn.FORECAST.ETS.CONFINT(A2,$B$2:$B$13,$A$2:$A$13,0.95,1,1)</calculatedColumnFormula>
    </tableColumn>
    <tableColumn id="5" xr3:uid="{C75947AD-D207-49B3-9FC9-5B76F94CC4D5}" name="Upper Confidence Bound" dataDxfId="0">
      <calculatedColumnFormula>C2+_xlfn.FORECAST.ETS.CONFINT(A2,$B$2:$B$13,$A$2:$A$13,0.95,1,1)</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1220000-18C4-4CB1-B859-4A5F7CAF4531}" name="Table13" displayName="Table13" ref="O78:S95" totalsRowShown="0">
  <autoFilter ref="O78:S95" xr:uid="{A1220000-18C4-4CB1-B859-4A5F7CAF4531}"/>
  <tableColumns count="5">
    <tableColumn id="1" xr3:uid="{4D47D4DC-AC1D-438D-9BDD-C2F9365DC255}" name="Timeline"/>
    <tableColumn id="2" xr3:uid="{8C828722-F71E-4482-92EF-1E88790490D2}" name="Values"/>
    <tableColumn id="3" xr3:uid="{0E159AFD-F16A-4C66-9065-875668F36DC6}" name="Forecast"/>
    <tableColumn id="4" xr3:uid="{638F3C68-0C04-4EB3-A42C-E2E6AC992278}" name="Lower Confidence Bound"/>
    <tableColumn id="5" xr3:uid="{48C2CE93-D2C4-4571-B92E-7F56C4DEAEEA}" name="Upper Confidence Boun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6.xml"/><Relationship Id="rId2" Type="http://schemas.openxmlformats.org/officeDocument/2006/relationships/pivotTable" Target="../pivotTables/pivotTable2.xml"/><Relationship Id="rId16" Type="http://schemas.openxmlformats.org/officeDocument/2006/relationships/table" Target="../tables/table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ivotTable" Target="../pivotTables/pivotTable15.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1"/>
  <sheetViews>
    <sheetView topLeftCell="A152" zoomScale="65" workbookViewId="0">
      <selection activeCell="J32" sqref="J32"/>
    </sheetView>
  </sheetViews>
  <sheetFormatPr defaultRowHeight="14.4" x14ac:dyDescent="0.3"/>
  <cols>
    <col min="1" max="1" width="16.6640625" style="1" customWidth="1"/>
    <col min="2" max="2" width="9" customWidth="1"/>
    <col min="3" max="3" width="9.5546875" customWidth="1"/>
    <col min="4" max="4" width="17.88671875" customWidth="1"/>
    <col min="6" max="6" width="10.88671875" customWidth="1"/>
  </cols>
  <sheetData>
    <row r="1" spans="1:9" x14ac:dyDescent="0.3">
      <c r="A1" s="1" t="s">
        <v>0</v>
      </c>
      <c r="B1" t="s">
        <v>1</v>
      </c>
      <c r="C1" t="s">
        <v>2</v>
      </c>
      <c r="D1" t="s">
        <v>3</v>
      </c>
      <c r="E1" t="s">
        <v>4</v>
      </c>
      <c r="F1" t="s">
        <v>5</v>
      </c>
      <c r="G1" t="s">
        <v>6</v>
      </c>
      <c r="H1" t="s">
        <v>7</v>
      </c>
      <c r="I1" t="s">
        <v>8</v>
      </c>
    </row>
    <row r="2" spans="1:9" x14ac:dyDescent="0.3">
      <c r="A2" s="1">
        <v>45751</v>
      </c>
      <c r="B2" t="s">
        <v>175</v>
      </c>
      <c r="C2" t="s">
        <v>24</v>
      </c>
      <c r="D2" t="s">
        <v>136</v>
      </c>
      <c r="E2" t="s">
        <v>36</v>
      </c>
      <c r="F2" t="s">
        <v>18</v>
      </c>
      <c r="G2">
        <v>10</v>
      </c>
      <c r="H2">
        <v>55000</v>
      </c>
      <c r="I2">
        <v>550000</v>
      </c>
    </row>
    <row r="3" spans="1:9" x14ac:dyDescent="0.3">
      <c r="A3" s="1">
        <v>45707</v>
      </c>
      <c r="B3" t="s">
        <v>352</v>
      </c>
      <c r="C3" t="s">
        <v>10</v>
      </c>
      <c r="D3" t="s">
        <v>133</v>
      </c>
      <c r="E3" t="s">
        <v>17</v>
      </c>
      <c r="F3" t="s">
        <v>29</v>
      </c>
      <c r="G3">
        <v>10</v>
      </c>
      <c r="H3">
        <v>75000</v>
      </c>
      <c r="I3">
        <v>750000</v>
      </c>
    </row>
    <row r="4" spans="1:9" x14ac:dyDescent="0.3">
      <c r="A4" s="1">
        <v>45837</v>
      </c>
      <c r="B4" t="s">
        <v>482</v>
      </c>
      <c r="C4" t="s">
        <v>15</v>
      </c>
      <c r="D4" t="s">
        <v>16</v>
      </c>
      <c r="E4" t="s">
        <v>17</v>
      </c>
      <c r="F4" t="s">
        <v>22</v>
      </c>
      <c r="G4">
        <v>10</v>
      </c>
      <c r="H4">
        <v>120000</v>
      </c>
      <c r="I4">
        <v>1200000</v>
      </c>
    </row>
    <row r="5" spans="1:9" x14ac:dyDescent="0.3">
      <c r="A5" s="1">
        <v>45779</v>
      </c>
      <c r="B5" t="s">
        <v>673</v>
      </c>
      <c r="C5" t="s">
        <v>53</v>
      </c>
      <c r="D5" t="s">
        <v>43</v>
      </c>
      <c r="E5" t="s">
        <v>26</v>
      </c>
      <c r="F5" t="s">
        <v>33</v>
      </c>
      <c r="G5">
        <v>10</v>
      </c>
      <c r="H5">
        <v>65000</v>
      </c>
      <c r="I5">
        <v>650000</v>
      </c>
    </row>
    <row r="6" spans="1:9" x14ac:dyDescent="0.3">
      <c r="A6" s="1">
        <v>45765</v>
      </c>
      <c r="B6" t="s">
        <v>1126</v>
      </c>
      <c r="C6" t="s">
        <v>53</v>
      </c>
      <c r="D6" t="s">
        <v>20</v>
      </c>
      <c r="E6" t="s">
        <v>21</v>
      </c>
      <c r="F6" t="s">
        <v>29</v>
      </c>
      <c r="G6">
        <v>10</v>
      </c>
      <c r="H6">
        <v>65000</v>
      </c>
      <c r="I6">
        <v>650000</v>
      </c>
    </row>
    <row r="7" spans="1:9" x14ac:dyDescent="0.3">
      <c r="A7" s="1">
        <v>46003</v>
      </c>
      <c r="B7" t="s">
        <v>1231</v>
      </c>
      <c r="C7" t="s">
        <v>53</v>
      </c>
      <c r="D7" t="s">
        <v>99</v>
      </c>
      <c r="E7" t="s">
        <v>32</v>
      </c>
      <c r="F7" t="s">
        <v>22</v>
      </c>
      <c r="G7">
        <v>10</v>
      </c>
      <c r="H7">
        <v>65000</v>
      </c>
      <c r="I7">
        <v>650000</v>
      </c>
    </row>
    <row r="8" spans="1:9" x14ac:dyDescent="0.3">
      <c r="A8" s="1">
        <v>45991</v>
      </c>
      <c r="B8" t="s">
        <v>143</v>
      </c>
      <c r="C8" t="s">
        <v>53</v>
      </c>
      <c r="D8" t="s">
        <v>20</v>
      </c>
      <c r="E8" t="s">
        <v>21</v>
      </c>
      <c r="F8" t="s">
        <v>18</v>
      </c>
      <c r="G8">
        <v>11</v>
      </c>
      <c r="H8">
        <v>65000</v>
      </c>
      <c r="I8">
        <v>715000</v>
      </c>
    </row>
    <row r="9" spans="1:9" x14ac:dyDescent="0.3">
      <c r="A9" s="1">
        <v>45749</v>
      </c>
      <c r="B9" t="s">
        <v>388</v>
      </c>
      <c r="C9" t="s">
        <v>15</v>
      </c>
      <c r="D9" t="s">
        <v>89</v>
      </c>
      <c r="E9" t="s">
        <v>12</v>
      </c>
      <c r="F9" t="s">
        <v>22</v>
      </c>
      <c r="G9">
        <v>11</v>
      </c>
      <c r="H9">
        <v>120000</v>
      </c>
      <c r="I9">
        <v>1320000</v>
      </c>
    </row>
    <row r="10" spans="1:9" x14ac:dyDescent="0.3">
      <c r="A10" s="1">
        <v>45827</v>
      </c>
      <c r="B10" t="s">
        <v>606</v>
      </c>
      <c r="C10" t="s">
        <v>24</v>
      </c>
      <c r="D10" t="s">
        <v>56</v>
      </c>
      <c r="E10" t="s">
        <v>57</v>
      </c>
      <c r="F10" t="s">
        <v>33</v>
      </c>
      <c r="G10">
        <v>11</v>
      </c>
      <c r="H10">
        <v>55000</v>
      </c>
      <c r="I10">
        <v>605000</v>
      </c>
    </row>
    <row r="11" spans="1:9" x14ac:dyDescent="0.3">
      <c r="A11" s="1">
        <v>45764</v>
      </c>
      <c r="B11" t="s">
        <v>898</v>
      </c>
      <c r="C11" t="s">
        <v>15</v>
      </c>
      <c r="D11" t="s">
        <v>49</v>
      </c>
      <c r="E11" t="s">
        <v>26</v>
      </c>
      <c r="F11" t="s">
        <v>18</v>
      </c>
      <c r="G11">
        <v>11</v>
      </c>
      <c r="H11">
        <v>120000</v>
      </c>
      <c r="I11">
        <v>1320000</v>
      </c>
    </row>
    <row r="12" spans="1:9" x14ac:dyDescent="0.3">
      <c r="A12" s="1">
        <v>45871</v>
      </c>
      <c r="B12" t="s">
        <v>998</v>
      </c>
      <c r="C12" t="s">
        <v>10</v>
      </c>
      <c r="D12" t="s">
        <v>136</v>
      </c>
      <c r="E12" t="s">
        <v>36</v>
      </c>
      <c r="F12" t="s">
        <v>22</v>
      </c>
      <c r="G12">
        <v>11</v>
      </c>
      <c r="H12">
        <v>75000</v>
      </c>
      <c r="I12">
        <v>825000</v>
      </c>
    </row>
    <row r="13" spans="1:9" x14ac:dyDescent="0.3">
      <c r="A13" s="1">
        <v>45942</v>
      </c>
      <c r="B13" t="s">
        <v>150</v>
      </c>
      <c r="C13" t="s">
        <v>15</v>
      </c>
      <c r="D13" t="s">
        <v>129</v>
      </c>
      <c r="E13" t="s">
        <v>57</v>
      </c>
      <c r="F13" t="s">
        <v>29</v>
      </c>
      <c r="G13">
        <v>12</v>
      </c>
      <c r="H13">
        <v>120000</v>
      </c>
      <c r="I13">
        <v>1440000</v>
      </c>
    </row>
    <row r="14" spans="1:9" x14ac:dyDescent="0.3">
      <c r="A14" s="1">
        <v>45832</v>
      </c>
      <c r="B14" t="s">
        <v>176</v>
      </c>
      <c r="C14" t="s">
        <v>53</v>
      </c>
      <c r="D14" t="s">
        <v>73</v>
      </c>
      <c r="E14" t="s">
        <v>36</v>
      </c>
      <c r="F14" t="s">
        <v>18</v>
      </c>
      <c r="G14">
        <v>12</v>
      </c>
      <c r="H14">
        <v>65000</v>
      </c>
      <c r="I14">
        <v>780000</v>
      </c>
    </row>
    <row r="15" spans="1:9" x14ac:dyDescent="0.3">
      <c r="A15" s="1">
        <v>45716</v>
      </c>
      <c r="B15" t="s">
        <v>462</v>
      </c>
      <c r="C15" t="s">
        <v>53</v>
      </c>
      <c r="D15" t="s">
        <v>16</v>
      </c>
      <c r="E15" t="s">
        <v>17</v>
      </c>
      <c r="F15" t="s">
        <v>18</v>
      </c>
      <c r="G15">
        <v>12</v>
      </c>
      <c r="H15">
        <v>65000</v>
      </c>
      <c r="I15">
        <v>780000</v>
      </c>
    </row>
    <row r="16" spans="1:9" x14ac:dyDescent="0.3">
      <c r="A16" s="1">
        <v>46008</v>
      </c>
      <c r="B16" t="s">
        <v>500</v>
      </c>
      <c r="C16" t="s">
        <v>15</v>
      </c>
      <c r="D16" t="s">
        <v>38</v>
      </c>
      <c r="E16" t="s">
        <v>17</v>
      </c>
      <c r="F16" t="s">
        <v>29</v>
      </c>
      <c r="G16">
        <v>12</v>
      </c>
      <c r="H16">
        <v>120000</v>
      </c>
      <c r="I16">
        <v>1440000</v>
      </c>
    </row>
    <row r="17" spans="1:9" x14ac:dyDescent="0.3">
      <c r="A17" s="1">
        <v>45933</v>
      </c>
      <c r="B17" t="s">
        <v>551</v>
      </c>
      <c r="C17" t="s">
        <v>53</v>
      </c>
      <c r="D17" t="s">
        <v>56</v>
      </c>
      <c r="E17" t="s">
        <v>57</v>
      </c>
      <c r="F17" t="s">
        <v>33</v>
      </c>
      <c r="G17">
        <v>12</v>
      </c>
      <c r="H17">
        <v>65000</v>
      </c>
      <c r="I17">
        <v>780000</v>
      </c>
    </row>
    <row r="18" spans="1:9" x14ac:dyDescent="0.3">
      <c r="A18" s="1">
        <v>45865</v>
      </c>
      <c r="B18" t="s">
        <v>921</v>
      </c>
      <c r="C18" t="s">
        <v>10</v>
      </c>
      <c r="D18" t="s">
        <v>95</v>
      </c>
      <c r="E18" t="s">
        <v>26</v>
      </c>
      <c r="F18" t="s">
        <v>13</v>
      </c>
      <c r="G18">
        <v>12</v>
      </c>
      <c r="H18">
        <v>75000</v>
      </c>
      <c r="I18">
        <v>900000</v>
      </c>
    </row>
    <row r="19" spans="1:9" x14ac:dyDescent="0.3">
      <c r="A19" s="1">
        <v>45992</v>
      </c>
      <c r="B19" t="s">
        <v>390</v>
      </c>
      <c r="C19" t="s">
        <v>24</v>
      </c>
      <c r="D19" t="s">
        <v>136</v>
      </c>
      <c r="E19" t="s">
        <v>36</v>
      </c>
      <c r="F19" t="s">
        <v>13</v>
      </c>
      <c r="G19">
        <v>13</v>
      </c>
      <c r="H19">
        <v>55000</v>
      </c>
      <c r="I19">
        <v>715000</v>
      </c>
    </row>
    <row r="20" spans="1:9" x14ac:dyDescent="0.3">
      <c r="A20" s="1">
        <v>45696</v>
      </c>
      <c r="B20" t="s">
        <v>434</v>
      </c>
      <c r="C20" t="s">
        <v>53</v>
      </c>
      <c r="D20" t="s">
        <v>61</v>
      </c>
      <c r="E20" t="s">
        <v>17</v>
      </c>
      <c r="F20" t="s">
        <v>29</v>
      </c>
      <c r="G20">
        <v>13</v>
      </c>
      <c r="H20">
        <v>65000</v>
      </c>
      <c r="I20">
        <v>845000</v>
      </c>
    </row>
    <row r="21" spans="1:9" x14ac:dyDescent="0.3">
      <c r="A21" s="1">
        <v>45972</v>
      </c>
      <c r="B21" t="s">
        <v>990</v>
      </c>
      <c r="C21" t="s">
        <v>15</v>
      </c>
      <c r="D21" t="s">
        <v>86</v>
      </c>
      <c r="E21" t="s">
        <v>12</v>
      </c>
      <c r="F21" t="s">
        <v>29</v>
      </c>
      <c r="G21">
        <v>13</v>
      </c>
      <c r="H21">
        <v>120000</v>
      </c>
      <c r="I21">
        <v>1560000</v>
      </c>
    </row>
    <row r="22" spans="1:9" x14ac:dyDescent="0.3">
      <c r="A22" s="1">
        <v>45929</v>
      </c>
      <c r="B22" t="s">
        <v>1068</v>
      </c>
      <c r="C22" t="s">
        <v>24</v>
      </c>
      <c r="D22" t="s">
        <v>201</v>
      </c>
      <c r="E22" t="s">
        <v>21</v>
      </c>
      <c r="F22" t="s">
        <v>33</v>
      </c>
      <c r="G22">
        <v>13</v>
      </c>
      <c r="H22">
        <v>55000</v>
      </c>
      <c r="I22">
        <v>715000</v>
      </c>
    </row>
    <row r="23" spans="1:9" x14ac:dyDescent="0.3">
      <c r="A23" s="1">
        <v>45944</v>
      </c>
      <c r="B23" t="s">
        <v>131</v>
      </c>
      <c r="C23" t="s">
        <v>10</v>
      </c>
      <c r="D23" t="s">
        <v>83</v>
      </c>
      <c r="E23" t="s">
        <v>21</v>
      </c>
      <c r="F23" t="s">
        <v>33</v>
      </c>
      <c r="G23">
        <v>14</v>
      </c>
      <c r="H23">
        <v>75000</v>
      </c>
      <c r="I23">
        <v>1050000</v>
      </c>
    </row>
    <row r="24" spans="1:9" x14ac:dyDescent="0.3">
      <c r="A24" s="1">
        <v>45887</v>
      </c>
      <c r="B24" t="s">
        <v>218</v>
      </c>
      <c r="C24" t="s">
        <v>53</v>
      </c>
      <c r="D24" t="s">
        <v>51</v>
      </c>
      <c r="E24" t="s">
        <v>36</v>
      </c>
      <c r="F24" t="s">
        <v>33</v>
      </c>
      <c r="G24">
        <v>14</v>
      </c>
      <c r="H24">
        <v>65000</v>
      </c>
      <c r="I24">
        <v>910000</v>
      </c>
    </row>
    <row r="25" spans="1:9" x14ac:dyDescent="0.3">
      <c r="A25" s="1">
        <v>45671</v>
      </c>
      <c r="B25" t="s">
        <v>293</v>
      </c>
      <c r="C25" t="s">
        <v>15</v>
      </c>
      <c r="D25" t="s">
        <v>31</v>
      </c>
      <c r="E25" t="s">
        <v>32</v>
      </c>
      <c r="F25" t="s">
        <v>18</v>
      </c>
      <c r="G25">
        <v>14</v>
      </c>
      <c r="H25">
        <v>120000</v>
      </c>
      <c r="I25">
        <v>1680000</v>
      </c>
    </row>
    <row r="26" spans="1:9" x14ac:dyDescent="0.3">
      <c r="A26" s="1">
        <v>45954</v>
      </c>
      <c r="B26" t="s">
        <v>302</v>
      </c>
      <c r="C26" t="s">
        <v>53</v>
      </c>
      <c r="D26" t="s">
        <v>95</v>
      </c>
      <c r="E26" t="s">
        <v>26</v>
      </c>
      <c r="F26" t="s">
        <v>33</v>
      </c>
      <c r="G26">
        <v>14</v>
      </c>
      <c r="H26">
        <v>65000</v>
      </c>
      <c r="I26">
        <v>910000</v>
      </c>
    </row>
    <row r="27" spans="1:9" x14ac:dyDescent="0.3">
      <c r="A27" s="1">
        <v>46016</v>
      </c>
      <c r="B27" t="s">
        <v>340</v>
      </c>
      <c r="C27" t="s">
        <v>15</v>
      </c>
      <c r="D27" t="s">
        <v>99</v>
      </c>
      <c r="E27" t="s">
        <v>32</v>
      </c>
      <c r="F27" t="s">
        <v>22</v>
      </c>
      <c r="G27">
        <v>14</v>
      </c>
      <c r="H27">
        <v>120000</v>
      </c>
      <c r="I27">
        <v>1680000</v>
      </c>
    </row>
    <row r="28" spans="1:9" x14ac:dyDescent="0.3">
      <c r="A28" s="1">
        <v>45986</v>
      </c>
      <c r="B28" t="s">
        <v>417</v>
      </c>
      <c r="C28" t="s">
        <v>15</v>
      </c>
      <c r="D28" t="s">
        <v>20</v>
      </c>
      <c r="E28" t="s">
        <v>21</v>
      </c>
      <c r="F28" t="s">
        <v>18</v>
      </c>
      <c r="G28">
        <v>14</v>
      </c>
      <c r="H28">
        <v>120000</v>
      </c>
      <c r="I28">
        <v>1680000</v>
      </c>
    </row>
    <row r="29" spans="1:9" x14ac:dyDescent="0.3">
      <c r="A29" s="1">
        <v>45798</v>
      </c>
      <c r="B29" t="s">
        <v>808</v>
      </c>
      <c r="C29" t="s">
        <v>53</v>
      </c>
      <c r="D29" t="s">
        <v>184</v>
      </c>
      <c r="E29" t="s">
        <v>57</v>
      </c>
      <c r="F29" t="s">
        <v>29</v>
      </c>
      <c r="G29">
        <v>14</v>
      </c>
      <c r="H29">
        <v>65000</v>
      </c>
      <c r="I29">
        <v>910000</v>
      </c>
    </row>
    <row r="30" spans="1:9" x14ac:dyDescent="0.3">
      <c r="A30" s="1">
        <v>45729</v>
      </c>
      <c r="B30" t="s">
        <v>1109</v>
      </c>
      <c r="C30" t="s">
        <v>53</v>
      </c>
      <c r="D30" t="s">
        <v>11</v>
      </c>
      <c r="E30" t="s">
        <v>12</v>
      </c>
      <c r="F30" t="s">
        <v>13</v>
      </c>
      <c r="G30">
        <v>14</v>
      </c>
      <c r="H30">
        <v>65000</v>
      </c>
      <c r="I30">
        <v>910000</v>
      </c>
    </row>
    <row r="31" spans="1:9" x14ac:dyDescent="0.3">
      <c r="A31" s="1">
        <v>45704</v>
      </c>
      <c r="B31" t="s">
        <v>1186</v>
      </c>
      <c r="C31" t="s">
        <v>10</v>
      </c>
      <c r="D31" t="s">
        <v>63</v>
      </c>
      <c r="E31" t="s">
        <v>32</v>
      </c>
      <c r="F31" t="s">
        <v>22</v>
      </c>
      <c r="G31">
        <v>14</v>
      </c>
      <c r="H31">
        <v>75000</v>
      </c>
      <c r="I31">
        <v>1050000</v>
      </c>
    </row>
    <row r="32" spans="1:9" x14ac:dyDescent="0.3">
      <c r="A32" s="1">
        <v>45679</v>
      </c>
      <c r="B32" t="s">
        <v>154</v>
      </c>
      <c r="C32" t="s">
        <v>53</v>
      </c>
      <c r="D32" t="s">
        <v>35</v>
      </c>
      <c r="E32" t="s">
        <v>36</v>
      </c>
      <c r="F32" t="s">
        <v>13</v>
      </c>
      <c r="G32">
        <v>15</v>
      </c>
      <c r="H32">
        <v>65000</v>
      </c>
      <c r="I32">
        <v>975000</v>
      </c>
    </row>
    <row r="33" spans="1:9" x14ac:dyDescent="0.3">
      <c r="A33" s="1">
        <v>45891</v>
      </c>
      <c r="B33" t="s">
        <v>264</v>
      </c>
      <c r="C33" t="s">
        <v>15</v>
      </c>
      <c r="D33" t="s">
        <v>28</v>
      </c>
      <c r="E33" t="s">
        <v>17</v>
      </c>
      <c r="F33" t="s">
        <v>33</v>
      </c>
      <c r="G33">
        <v>15</v>
      </c>
      <c r="H33">
        <v>120000</v>
      </c>
      <c r="I33">
        <v>1800000</v>
      </c>
    </row>
    <row r="34" spans="1:9" x14ac:dyDescent="0.3">
      <c r="A34" s="1">
        <v>45975</v>
      </c>
      <c r="B34" t="s">
        <v>644</v>
      </c>
      <c r="C34" t="s">
        <v>15</v>
      </c>
      <c r="D34" t="s">
        <v>49</v>
      </c>
      <c r="E34" t="s">
        <v>26</v>
      </c>
      <c r="F34" t="s">
        <v>18</v>
      </c>
      <c r="G34">
        <v>15</v>
      </c>
      <c r="H34">
        <v>120000</v>
      </c>
      <c r="I34">
        <v>1800000</v>
      </c>
    </row>
    <row r="35" spans="1:9" x14ac:dyDescent="0.3">
      <c r="A35" s="1">
        <v>45671</v>
      </c>
      <c r="B35" t="s">
        <v>441</v>
      </c>
      <c r="C35" t="s">
        <v>10</v>
      </c>
      <c r="D35" t="s">
        <v>20</v>
      </c>
      <c r="E35" t="s">
        <v>21</v>
      </c>
      <c r="F35" t="s">
        <v>29</v>
      </c>
      <c r="G35">
        <v>16</v>
      </c>
      <c r="H35">
        <v>75000</v>
      </c>
      <c r="I35">
        <v>1200000</v>
      </c>
    </row>
    <row r="36" spans="1:9" x14ac:dyDescent="0.3">
      <c r="A36" s="1">
        <v>45904</v>
      </c>
      <c r="B36" t="s">
        <v>484</v>
      </c>
      <c r="C36" t="s">
        <v>15</v>
      </c>
      <c r="D36" t="s">
        <v>28</v>
      </c>
      <c r="E36" t="s">
        <v>17</v>
      </c>
      <c r="F36" t="s">
        <v>13</v>
      </c>
      <c r="G36">
        <v>16</v>
      </c>
      <c r="H36">
        <v>120000</v>
      </c>
      <c r="I36">
        <v>1920000</v>
      </c>
    </row>
    <row r="37" spans="1:9" x14ac:dyDescent="0.3">
      <c r="A37" s="1">
        <v>45720</v>
      </c>
      <c r="B37" t="s">
        <v>634</v>
      </c>
      <c r="C37" t="s">
        <v>53</v>
      </c>
      <c r="D37" t="s">
        <v>116</v>
      </c>
      <c r="E37" t="s">
        <v>57</v>
      </c>
      <c r="F37" t="s">
        <v>29</v>
      </c>
      <c r="G37">
        <v>16</v>
      </c>
      <c r="H37">
        <v>65000</v>
      </c>
      <c r="I37">
        <v>1040000</v>
      </c>
    </row>
    <row r="38" spans="1:9" x14ac:dyDescent="0.3">
      <c r="A38" s="1">
        <v>45917</v>
      </c>
      <c r="B38" t="s">
        <v>645</v>
      </c>
      <c r="C38" t="s">
        <v>53</v>
      </c>
      <c r="D38" t="s">
        <v>20</v>
      </c>
      <c r="E38" t="s">
        <v>21</v>
      </c>
      <c r="F38" t="s">
        <v>29</v>
      </c>
      <c r="G38">
        <v>16</v>
      </c>
      <c r="H38">
        <v>65000</v>
      </c>
      <c r="I38">
        <v>1040000</v>
      </c>
    </row>
    <row r="39" spans="1:9" x14ac:dyDescent="0.3">
      <c r="A39" s="1">
        <v>45960</v>
      </c>
      <c r="B39" t="s">
        <v>708</v>
      </c>
      <c r="C39" t="s">
        <v>24</v>
      </c>
      <c r="D39" t="s">
        <v>45</v>
      </c>
      <c r="E39" t="s">
        <v>12</v>
      </c>
      <c r="F39" t="s">
        <v>13</v>
      </c>
      <c r="G39">
        <v>16</v>
      </c>
      <c r="H39">
        <v>55000</v>
      </c>
      <c r="I39">
        <v>880000</v>
      </c>
    </row>
    <row r="40" spans="1:9" x14ac:dyDescent="0.3">
      <c r="A40" s="1">
        <v>45662</v>
      </c>
      <c r="B40" t="s">
        <v>837</v>
      </c>
      <c r="C40" t="s">
        <v>24</v>
      </c>
      <c r="D40" t="s">
        <v>201</v>
      </c>
      <c r="E40" t="s">
        <v>21</v>
      </c>
      <c r="F40" t="s">
        <v>29</v>
      </c>
      <c r="G40">
        <v>16</v>
      </c>
      <c r="H40">
        <v>55000</v>
      </c>
      <c r="I40">
        <v>880000</v>
      </c>
    </row>
    <row r="41" spans="1:9" x14ac:dyDescent="0.3">
      <c r="A41" s="1">
        <v>45811</v>
      </c>
      <c r="B41" t="s">
        <v>945</v>
      </c>
      <c r="C41" t="s">
        <v>53</v>
      </c>
      <c r="D41" t="s">
        <v>79</v>
      </c>
      <c r="E41" t="s">
        <v>36</v>
      </c>
      <c r="F41" t="s">
        <v>13</v>
      </c>
      <c r="G41">
        <v>16</v>
      </c>
      <c r="H41">
        <v>65000</v>
      </c>
      <c r="I41">
        <v>1040000</v>
      </c>
    </row>
    <row r="42" spans="1:9" x14ac:dyDescent="0.3">
      <c r="A42" s="1">
        <v>45926</v>
      </c>
      <c r="B42" t="s">
        <v>1056</v>
      </c>
      <c r="C42" t="s">
        <v>10</v>
      </c>
      <c r="D42" t="s">
        <v>124</v>
      </c>
      <c r="E42" t="s">
        <v>26</v>
      </c>
      <c r="F42" t="s">
        <v>33</v>
      </c>
      <c r="G42">
        <v>16</v>
      </c>
      <c r="H42">
        <v>75000</v>
      </c>
      <c r="I42">
        <v>1200000</v>
      </c>
    </row>
    <row r="43" spans="1:9" x14ac:dyDescent="0.3">
      <c r="A43" s="1">
        <v>45858</v>
      </c>
      <c r="B43" t="s">
        <v>479</v>
      </c>
      <c r="C43" t="s">
        <v>53</v>
      </c>
      <c r="D43" t="s">
        <v>71</v>
      </c>
      <c r="E43" t="s">
        <v>21</v>
      </c>
      <c r="F43" t="s">
        <v>29</v>
      </c>
      <c r="G43">
        <v>17</v>
      </c>
      <c r="H43">
        <v>65000</v>
      </c>
      <c r="I43">
        <v>1105000</v>
      </c>
    </row>
    <row r="44" spans="1:9" x14ac:dyDescent="0.3">
      <c r="A44" s="1">
        <v>45890</v>
      </c>
      <c r="B44" t="s">
        <v>486</v>
      </c>
      <c r="C44" t="s">
        <v>15</v>
      </c>
      <c r="D44" t="s">
        <v>54</v>
      </c>
      <c r="E44" t="s">
        <v>21</v>
      </c>
      <c r="F44" t="s">
        <v>29</v>
      </c>
      <c r="G44">
        <v>17</v>
      </c>
      <c r="H44">
        <v>120000</v>
      </c>
      <c r="I44">
        <v>2040000</v>
      </c>
    </row>
    <row r="45" spans="1:9" x14ac:dyDescent="0.3">
      <c r="A45" s="1">
        <v>45682</v>
      </c>
      <c r="B45" t="s">
        <v>536</v>
      </c>
      <c r="C45" t="s">
        <v>53</v>
      </c>
      <c r="D45" t="s">
        <v>61</v>
      </c>
      <c r="E45" t="s">
        <v>17</v>
      </c>
      <c r="F45" t="s">
        <v>22</v>
      </c>
      <c r="G45">
        <v>17</v>
      </c>
      <c r="H45">
        <v>65000</v>
      </c>
      <c r="I45">
        <v>1105000</v>
      </c>
    </row>
    <row r="46" spans="1:9" x14ac:dyDescent="0.3">
      <c r="A46" s="1">
        <v>45739</v>
      </c>
      <c r="B46" t="s">
        <v>711</v>
      </c>
      <c r="C46" t="s">
        <v>24</v>
      </c>
      <c r="D46" t="s">
        <v>25</v>
      </c>
      <c r="E46" t="s">
        <v>26</v>
      </c>
      <c r="F46" t="s">
        <v>29</v>
      </c>
      <c r="G46">
        <v>17</v>
      </c>
      <c r="H46">
        <v>55000</v>
      </c>
      <c r="I46">
        <v>935000</v>
      </c>
    </row>
    <row r="47" spans="1:9" x14ac:dyDescent="0.3">
      <c r="A47" s="1">
        <v>45969</v>
      </c>
      <c r="B47" t="s">
        <v>751</v>
      </c>
      <c r="C47" t="s">
        <v>10</v>
      </c>
      <c r="D47" t="s">
        <v>104</v>
      </c>
      <c r="E47" t="s">
        <v>26</v>
      </c>
      <c r="F47" t="s">
        <v>33</v>
      </c>
      <c r="G47">
        <v>17</v>
      </c>
      <c r="H47">
        <v>75000</v>
      </c>
      <c r="I47">
        <v>1275000</v>
      </c>
    </row>
    <row r="48" spans="1:9" x14ac:dyDescent="0.3">
      <c r="A48" s="1">
        <v>45993</v>
      </c>
      <c r="B48" t="s">
        <v>814</v>
      </c>
      <c r="C48" t="s">
        <v>24</v>
      </c>
      <c r="D48" t="s">
        <v>16</v>
      </c>
      <c r="E48" t="s">
        <v>17</v>
      </c>
      <c r="F48" t="s">
        <v>18</v>
      </c>
      <c r="G48">
        <v>17</v>
      </c>
      <c r="H48">
        <v>55000</v>
      </c>
      <c r="I48">
        <v>935000</v>
      </c>
    </row>
    <row r="49" spans="1:9" x14ac:dyDescent="0.3">
      <c r="A49" s="1">
        <v>45796</v>
      </c>
      <c r="B49" t="s">
        <v>913</v>
      </c>
      <c r="C49" t="s">
        <v>24</v>
      </c>
      <c r="D49" t="s">
        <v>51</v>
      </c>
      <c r="E49" t="s">
        <v>36</v>
      </c>
      <c r="F49" t="s">
        <v>18</v>
      </c>
      <c r="G49">
        <v>17</v>
      </c>
      <c r="H49">
        <v>55000</v>
      </c>
      <c r="I49">
        <v>935000</v>
      </c>
    </row>
    <row r="50" spans="1:9" x14ac:dyDescent="0.3">
      <c r="A50" s="1">
        <v>45927</v>
      </c>
      <c r="B50" t="s">
        <v>961</v>
      </c>
      <c r="C50" t="s">
        <v>24</v>
      </c>
      <c r="D50" t="s">
        <v>110</v>
      </c>
      <c r="E50" t="s">
        <v>32</v>
      </c>
      <c r="F50" t="s">
        <v>13</v>
      </c>
      <c r="G50">
        <v>17</v>
      </c>
      <c r="H50">
        <v>55000</v>
      </c>
      <c r="I50">
        <v>935000</v>
      </c>
    </row>
    <row r="51" spans="1:9" x14ac:dyDescent="0.3">
      <c r="A51" s="1">
        <v>45855</v>
      </c>
      <c r="B51" t="s">
        <v>1004</v>
      </c>
      <c r="C51" t="s">
        <v>53</v>
      </c>
      <c r="D51" t="s">
        <v>49</v>
      </c>
      <c r="E51" t="s">
        <v>26</v>
      </c>
      <c r="F51" t="s">
        <v>13</v>
      </c>
      <c r="G51">
        <v>17</v>
      </c>
      <c r="H51">
        <v>65000</v>
      </c>
      <c r="I51">
        <v>1105000</v>
      </c>
    </row>
    <row r="52" spans="1:9" x14ac:dyDescent="0.3">
      <c r="A52" s="1">
        <v>45746</v>
      </c>
      <c r="B52" t="s">
        <v>1044</v>
      </c>
      <c r="C52" t="s">
        <v>10</v>
      </c>
      <c r="D52" t="s">
        <v>86</v>
      </c>
      <c r="E52" t="s">
        <v>12</v>
      </c>
      <c r="F52" t="s">
        <v>13</v>
      </c>
      <c r="G52">
        <v>17</v>
      </c>
      <c r="H52">
        <v>75000</v>
      </c>
      <c r="I52">
        <v>1275000</v>
      </c>
    </row>
    <row r="53" spans="1:9" x14ac:dyDescent="0.3">
      <c r="A53" s="1">
        <v>45773</v>
      </c>
      <c r="B53" t="s">
        <v>1111</v>
      </c>
      <c r="C53" t="s">
        <v>10</v>
      </c>
      <c r="D53" t="s">
        <v>59</v>
      </c>
      <c r="E53" t="s">
        <v>41</v>
      </c>
      <c r="F53" t="s">
        <v>13</v>
      </c>
      <c r="G53">
        <v>17</v>
      </c>
      <c r="H53">
        <v>75000</v>
      </c>
      <c r="I53">
        <v>1275000</v>
      </c>
    </row>
    <row r="54" spans="1:9" x14ac:dyDescent="0.3">
      <c r="A54" s="1">
        <v>45679</v>
      </c>
      <c r="B54" t="s">
        <v>1236</v>
      </c>
      <c r="C54" t="s">
        <v>10</v>
      </c>
      <c r="D54" t="s">
        <v>129</v>
      </c>
      <c r="E54" t="s">
        <v>57</v>
      </c>
      <c r="F54" t="s">
        <v>33</v>
      </c>
      <c r="G54">
        <v>17</v>
      </c>
      <c r="H54">
        <v>75000</v>
      </c>
      <c r="I54">
        <v>1275000</v>
      </c>
    </row>
    <row r="55" spans="1:9" x14ac:dyDescent="0.3">
      <c r="A55" s="1">
        <v>45822</v>
      </c>
      <c r="B55" t="s">
        <v>75</v>
      </c>
      <c r="C55" t="s">
        <v>15</v>
      </c>
      <c r="D55" t="s">
        <v>45</v>
      </c>
      <c r="E55" t="s">
        <v>12</v>
      </c>
      <c r="F55" t="s">
        <v>29</v>
      </c>
      <c r="G55">
        <v>18</v>
      </c>
      <c r="H55">
        <v>120000</v>
      </c>
      <c r="I55">
        <v>2160000</v>
      </c>
    </row>
    <row r="56" spans="1:9" x14ac:dyDescent="0.3">
      <c r="A56" s="1">
        <v>45875</v>
      </c>
      <c r="B56" t="s">
        <v>128</v>
      </c>
      <c r="C56" t="s">
        <v>15</v>
      </c>
      <c r="D56" t="s">
        <v>129</v>
      </c>
      <c r="E56" t="s">
        <v>57</v>
      </c>
      <c r="F56" t="s">
        <v>29</v>
      </c>
      <c r="G56">
        <v>18</v>
      </c>
      <c r="H56">
        <v>120000</v>
      </c>
      <c r="I56">
        <v>2160000</v>
      </c>
    </row>
    <row r="57" spans="1:9" x14ac:dyDescent="0.3">
      <c r="A57" s="1">
        <v>46014</v>
      </c>
      <c r="B57" t="s">
        <v>315</v>
      </c>
      <c r="C57" t="s">
        <v>10</v>
      </c>
      <c r="D57" t="s">
        <v>71</v>
      </c>
      <c r="E57" t="s">
        <v>21</v>
      </c>
      <c r="F57" t="s">
        <v>13</v>
      </c>
      <c r="G57">
        <v>18</v>
      </c>
      <c r="H57">
        <v>75000</v>
      </c>
      <c r="I57">
        <v>1350000</v>
      </c>
    </row>
    <row r="58" spans="1:9" x14ac:dyDescent="0.3">
      <c r="A58" s="1">
        <v>45761</v>
      </c>
      <c r="B58" t="s">
        <v>403</v>
      </c>
      <c r="C58" t="s">
        <v>15</v>
      </c>
      <c r="D58" t="s">
        <v>201</v>
      </c>
      <c r="E58" t="s">
        <v>21</v>
      </c>
      <c r="F58" t="s">
        <v>33</v>
      </c>
      <c r="G58">
        <v>18</v>
      </c>
      <c r="H58">
        <v>120000</v>
      </c>
      <c r="I58">
        <v>2160000</v>
      </c>
    </row>
    <row r="59" spans="1:9" x14ac:dyDescent="0.3">
      <c r="A59" s="1">
        <v>45944</v>
      </c>
      <c r="B59" t="s">
        <v>515</v>
      </c>
      <c r="C59" t="s">
        <v>10</v>
      </c>
      <c r="D59" t="s">
        <v>16</v>
      </c>
      <c r="E59" t="s">
        <v>17</v>
      </c>
      <c r="F59" t="s">
        <v>13</v>
      </c>
      <c r="G59">
        <v>18</v>
      </c>
      <c r="H59">
        <v>75000</v>
      </c>
      <c r="I59">
        <v>1350000</v>
      </c>
    </row>
    <row r="60" spans="1:9" x14ac:dyDescent="0.3">
      <c r="A60" s="1">
        <v>45850</v>
      </c>
      <c r="B60" t="s">
        <v>985</v>
      </c>
      <c r="C60" t="s">
        <v>53</v>
      </c>
      <c r="D60" t="s">
        <v>129</v>
      </c>
      <c r="E60" t="s">
        <v>57</v>
      </c>
      <c r="F60" t="s">
        <v>13</v>
      </c>
      <c r="G60">
        <v>18</v>
      </c>
      <c r="H60">
        <v>65000</v>
      </c>
      <c r="I60">
        <v>1170000</v>
      </c>
    </row>
    <row r="61" spans="1:9" x14ac:dyDescent="0.3">
      <c r="A61" s="1">
        <v>45881</v>
      </c>
      <c r="B61" t="s">
        <v>1084</v>
      </c>
      <c r="C61" t="s">
        <v>15</v>
      </c>
      <c r="D61" t="s">
        <v>63</v>
      </c>
      <c r="E61" t="s">
        <v>32</v>
      </c>
      <c r="F61" t="s">
        <v>22</v>
      </c>
      <c r="G61">
        <v>18</v>
      </c>
      <c r="H61">
        <v>120000</v>
      </c>
      <c r="I61">
        <v>2160000</v>
      </c>
    </row>
    <row r="62" spans="1:9" x14ac:dyDescent="0.3">
      <c r="A62" s="1">
        <v>46012</v>
      </c>
      <c r="B62" t="s">
        <v>1170</v>
      </c>
      <c r="C62" t="s">
        <v>53</v>
      </c>
      <c r="D62" t="s">
        <v>101</v>
      </c>
      <c r="E62" t="s">
        <v>36</v>
      </c>
      <c r="F62" t="s">
        <v>22</v>
      </c>
      <c r="G62">
        <v>18</v>
      </c>
      <c r="H62">
        <v>65000</v>
      </c>
      <c r="I62">
        <v>1170000</v>
      </c>
    </row>
    <row r="63" spans="1:9" x14ac:dyDescent="0.3">
      <c r="A63" s="1">
        <v>45855</v>
      </c>
      <c r="B63" t="s">
        <v>1224</v>
      </c>
      <c r="C63" t="s">
        <v>53</v>
      </c>
      <c r="D63" t="s">
        <v>133</v>
      </c>
      <c r="E63" t="s">
        <v>17</v>
      </c>
      <c r="F63" t="s">
        <v>13</v>
      </c>
      <c r="G63">
        <v>18</v>
      </c>
      <c r="H63">
        <v>65000</v>
      </c>
      <c r="I63">
        <v>1170000</v>
      </c>
    </row>
    <row r="64" spans="1:9" x14ac:dyDescent="0.3">
      <c r="A64" s="1">
        <v>45818</v>
      </c>
      <c r="B64" t="s">
        <v>187</v>
      </c>
      <c r="C64" t="s">
        <v>10</v>
      </c>
      <c r="D64" t="s">
        <v>141</v>
      </c>
      <c r="E64" t="s">
        <v>21</v>
      </c>
      <c r="F64" t="s">
        <v>13</v>
      </c>
      <c r="G64">
        <v>19</v>
      </c>
      <c r="H64">
        <v>75000</v>
      </c>
      <c r="I64">
        <v>1425000</v>
      </c>
    </row>
    <row r="65" spans="1:9" x14ac:dyDescent="0.3">
      <c r="A65" s="1">
        <v>45890</v>
      </c>
      <c r="B65" t="s">
        <v>259</v>
      </c>
      <c r="C65" t="s">
        <v>10</v>
      </c>
      <c r="D65" t="s">
        <v>110</v>
      </c>
      <c r="E65" t="s">
        <v>32</v>
      </c>
      <c r="F65" t="s">
        <v>13</v>
      </c>
      <c r="G65">
        <v>19</v>
      </c>
      <c r="H65">
        <v>75000</v>
      </c>
      <c r="I65">
        <v>1425000</v>
      </c>
    </row>
    <row r="66" spans="1:9" x14ac:dyDescent="0.3">
      <c r="A66" s="1">
        <v>45837</v>
      </c>
      <c r="B66" t="s">
        <v>385</v>
      </c>
      <c r="C66" t="s">
        <v>15</v>
      </c>
      <c r="D66" t="s">
        <v>93</v>
      </c>
      <c r="E66" t="s">
        <v>41</v>
      </c>
      <c r="F66" t="s">
        <v>33</v>
      </c>
      <c r="G66">
        <v>19</v>
      </c>
      <c r="H66">
        <v>120000</v>
      </c>
      <c r="I66">
        <v>2280000</v>
      </c>
    </row>
    <row r="67" spans="1:9" x14ac:dyDescent="0.3">
      <c r="A67" s="1">
        <v>45828</v>
      </c>
      <c r="B67" t="s">
        <v>858</v>
      </c>
      <c r="C67" t="s">
        <v>53</v>
      </c>
      <c r="D67" t="s">
        <v>95</v>
      </c>
      <c r="E67" t="s">
        <v>26</v>
      </c>
      <c r="F67" t="s">
        <v>13</v>
      </c>
      <c r="G67">
        <v>19</v>
      </c>
      <c r="H67">
        <v>65000</v>
      </c>
      <c r="I67">
        <v>1235000</v>
      </c>
    </row>
    <row r="68" spans="1:9" x14ac:dyDescent="0.3">
      <c r="A68" s="1">
        <v>45723</v>
      </c>
      <c r="B68" t="s">
        <v>1048</v>
      </c>
      <c r="C68" t="s">
        <v>24</v>
      </c>
      <c r="D68" t="s">
        <v>59</v>
      </c>
      <c r="E68" t="s">
        <v>41</v>
      </c>
      <c r="F68" t="s">
        <v>13</v>
      </c>
      <c r="G68">
        <v>19</v>
      </c>
      <c r="H68">
        <v>55000</v>
      </c>
      <c r="I68">
        <v>1045000</v>
      </c>
    </row>
    <row r="69" spans="1:9" x14ac:dyDescent="0.3">
      <c r="A69" s="1">
        <v>45873</v>
      </c>
      <c r="B69" t="s">
        <v>377</v>
      </c>
      <c r="C69" t="s">
        <v>15</v>
      </c>
      <c r="D69" t="s">
        <v>152</v>
      </c>
      <c r="E69" t="s">
        <v>36</v>
      </c>
      <c r="F69" t="s">
        <v>33</v>
      </c>
      <c r="G69">
        <v>20</v>
      </c>
      <c r="H69">
        <v>120000</v>
      </c>
      <c r="I69">
        <v>2400000</v>
      </c>
    </row>
    <row r="70" spans="1:9" x14ac:dyDescent="0.3">
      <c r="A70" s="1">
        <v>45728</v>
      </c>
      <c r="B70" t="s">
        <v>687</v>
      </c>
      <c r="C70" t="s">
        <v>24</v>
      </c>
      <c r="D70" t="s">
        <v>11</v>
      </c>
      <c r="E70" t="s">
        <v>12</v>
      </c>
      <c r="F70" t="s">
        <v>13</v>
      </c>
      <c r="G70">
        <v>20</v>
      </c>
      <c r="H70">
        <v>55000</v>
      </c>
      <c r="I70">
        <v>1100000</v>
      </c>
    </row>
    <row r="71" spans="1:9" x14ac:dyDescent="0.3">
      <c r="A71" s="1">
        <v>45751</v>
      </c>
      <c r="B71" t="s">
        <v>869</v>
      </c>
      <c r="C71" t="s">
        <v>10</v>
      </c>
      <c r="D71" t="s">
        <v>81</v>
      </c>
      <c r="E71" t="s">
        <v>32</v>
      </c>
      <c r="F71" t="s">
        <v>22</v>
      </c>
      <c r="G71">
        <v>20</v>
      </c>
      <c r="H71">
        <v>75000</v>
      </c>
      <c r="I71">
        <v>1500000</v>
      </c>
    </row>
    <row r="72" spans="1:9" x14ac:dyDescent="0.3">
      <c r="A72" s="1">
        <v>45734</v>
      </c>
      <c r="B72" t="s">
        <v>912</v>
      </c>
      <c r="C72" t="s">
        <v>53</v>
      </c>
      <c r="D72" t="s">
        <v>61</v>
      </c>
      <c r="E72" t="s">
        <v>17</v>
      </c>
      <c r="F72" t="s">
        <v>33</v>
      </c>
      <c r="G72">
        <v>20</v>
      </c>
      <c r="H72">
        <v>65000</v>
      </c>
      <c r="I72">
        <v>1300000</v>
      </c>
    </row>
    <row r="73" spans="1:9" x14ac:dyDescent="0.3">
      <c r="A73" s="1">
        <v>45988</v>
      </c>
      <c r="B73" t="s">
        <v>1043</v>
      </c>
      <c r="C73" t="s">
        <v>24</v>
      </c>
      <c r="D73" t="s">
        <v>89</v>
      </c>
      <c r="E73" t="s">
        <v>12</v>
      </c>
      <c r="F73" t="s">
        <v>13</v>
      </c>
      <c r="G73">
        <v>20</v>
      </c>
      <c r="H73">
        <v>55000</v>
      </c>
      <c r="I73">
        <v>1100000</v>
      </c>
    </row>
    <row r="74" spans="1:9" x14ac:dyDescent="0.3">
      <c r="A74" s="1">
        <v>45707</v>
      </c>
      <c r="B74" t="s">
        <v>88</v>
      </c>
      <c r="C74" t="s">
        <v>24</v>
      </c>
      <c r="D74" t="s">
        <v>89</v>
      </c>
      <c r="E74" t="s">
        <v>12</v>
      </c>
      <c r="F74" t="s">
        <v>29</v>
      </c>
      <c r="G74">
        <v>21</v>
      </c>
      <c r="H74">
        <v>55000</v>
      </c>
      <c r="I74">
        <v>1155000</v>
      </c>
    </row>
    <row r="75" spans="1:9" x14ac:dyDescent="0.3">
      <c r="A75" s="1">
        <v>45905</v>
      </c>
      <c r="B75" t="s">
        <v>627</v>
      </c>
      <c r="C75" t="s">
        <v>53</v>
      </c>
      <c r="D75" t="s">
        <v>305</v>
      </c>
      <c r="E75" t="s">
        <v>32</v>
      </c>
      <c r="F75" t="s">
        <v>13</v>
      </c>
      <c r="G75">
        <v>21</v>
      </c>
      <c r="H75">
        <v>65000</v>
      </c>
      <c r="I75">
        <v>1365000</v>
      </c>
    </row>
    <row r="76" spans="1:9" x14ac:dyDescent="0.3">
      <c r="A76" s="1">
        <v>45673</v>
      </c>
      <c r="B76" t="s">
        <v>692</v>
      </c>
      <c r="C76" t="s">
        <v>24</v>
      </c>
      <c r="D76" t="s">
        <v>63</v>
      </c>
      <c r="E76" t="s">
        <v>32</v>
      </c>
      <c r="F76" t="s">
        <v>18</v>
      </c>
      <c r="G76">
        <v>21</v>
      </c>
      <c r="H76">
        <v>55000</v>
      </c>
      <c r="I76">
        <v>1155000</v>
      </c>
    </row>
    <row r="77" spans="1:9" x14ac:dyDescent="0.3">
      <c r="A77" s="1">
        <v>45911</v>
      </c>
      <c r="B77" t="s">
        <v>703</v>
      </c>
      <c r="C77" t="s">
        <v>24</v>
      </c>
      <c r="D77" t="s">
        <v>79</v>
      </c>
      <c r="E77" t="s">
        <v>36</v>
      </c>
      <c r="F77" t="s">
        <v>29</v>
      </c>
      <c r="G77">
        <v>21</v>
      </c>
      <c r="H77">
        <v>55000</v>
      </c>
      <c r="I77">
        <v>1155000</v>
      </c>
    </row>
    <row r="78" spans="1:9" x14ac:dyDescent="0.3">
      <c r="A78" s="1">
        <v>45725</v>
      </c>
      <c r="B78" t="s">
        <v>1040</v>
      </c>
      <c r="C78" t="s">
        <v>15</v>
      </c>
      <c r="D78" t="s">
        <v>251</v>
      </c>
      <c r="E78" t="s">
        <v>12</v>
      </c>
      <c r="F78" t="s">
        <v>13</v>
      </c>
      <c r="G78">
        <v>21</v>
      </c>
      <c r="H78">
        <v>120000</v>
      </c>
      <c r="I78">
        <v>2520000</v>
      </c>
    </row>
    <row r="79" spans="1:9" x14ac:dyDescent="0.3">
      <c r="A79" s="1">
        <v>45764</v>
      </c>
      <c r="B79" t="s">
        <v>1142</v>
      </c>
      <c r="C79" t="s">
        <v>10</v>
      </c>
      <c r="D79" t="s">
        <v>61</v>
      </c>
      <c r="E79" t="s">
        <v>17</v>
      </c>
      <c r="F79" t="s">
        <v>18</v>
      </c>
      <c r="G79">
        <v>21</v>
      </c>
      <c r="H79">
        <v>75000</v>
      </c>
      <c r="I79">
        <v>1575000</v>
      </c>
    </row>
    <row r="80" spans="1:9" x14ac:dyDescent="0.3">
      <c r="A80" s="1">
        <v>45665</v>
      </c>
      <c r="B80" t="s">
        <v>1201</v>
      </c>
      <c r="C80" t="s">
        <v>15</v>
      </c>
      <c r="D80" t="s">
        <v>141</v>
      </c>
      <c r="E80" t="s">
        <v>21</v>
      </c>
      <c r="F80" t="s">
        <v>29</v>
      </c>
      <c r="G80">
        <v>21</v>
      </c>
      <c r="H80">
        <v>120000</v>
      </c>
      <c r="I80">
        <v>2520000</v>
      </c>
    </row>
    <row r="81" spans="1:9" x14ac:dyDescent="0.3">
      <c r="A81" s="1">
        <v>45857</v>
      </c>
      <c r="B81" t="s">
        <v>90</v>
      </c>
      <c r="C81" t="s">
        <v>53</v>
      </c>
      <c r="D81" t="s">
        <v>91</v>
      </c>
      <c r="E81" t="s">
        <v>17</v>
      </c>
      <c r="F81" t="s">
        <v>33</v>
      </c>
      <c r="G81">
        <v>22</v>
      </c>
      <c r="H81">
        <v>65000</v>
      </c>
      <c r="I81">
        <v>1430000</v>
      </c>
    </row>
    <row r="82" spans="1:9" x14ac:dyDescent="0.3">
      <c r="A82" s="1">
        <v>45830</v>
      </c>
      <c r="B82" t="s">
        <v>159</v>
      </c>
      <c r="C82" t="s">
        <v>24</v>
      </c>
      <c r="D82" t="s">
        <v>71</v>
      </c>
      <c r="E82" t="s">
        <v>21</v>
      </c>
      <c r="F82" t="s">
        <v>33</v>
      </c>
      <c r="G82">
        <v>22</v>
      </c>
      <c r="H82">
        <v>55000</v>
      </c>
      <c r="I82">
        <v>1210000</v>
      </c>
    </row>
    <row r="83" spans="1:9" x14ac:dyDescent="0.3">
      <c r="A83" s="1">
        <v>45686</v>
      </c>
      <c r="B83" t="s">
        <v>186</v>
      </c>
      <c r="C83" t="s">
        <v>24</v>
      </c>
      <c r="D83" t="s">
        <v>79</v>
      </c>
      <c r="E83" t="s">
        <v>36</v>
      </c>
      <c r="F83" t="s">
        <v>29</v>
      </c>
      <c r="G83">
        <v>22</v>
      </c>
      <c r="H83">
        <v>55000</v>
      </c>
      <c r="I83">
        <v>1210000</v>
      </c>
    </row>
    <row r="84" spans="1:9" x14ac:dyDescent="0.3">
      <c r="A84" s="1">
        <v>45660</v>
      </c>
      <c r="B84" t="s">
        <v>331</v>
      </c>
      <c r="C84" t="s">
        <v>53</v>
      </c>
      <c r="D84" t="s">
        <v>141</v>
      </c>
      <c r="E84" t="s">
        <v>21</v>
      </c>
      <c r="F84" t="s">
        <v>33</v>
      </c>
      <c r="G84">
        <v>22</v>
      </c>
      <c r="H84">
        <v>65000</v>
      </c>
      <c r="I84">
        <v>1430000</v>
      </c>
    </row>
    <row r="85" spans="1:9" x14ac:dyDescent="0.3">
      <c r="A85" s="1">
        <v>45691</v>
      </c>
      <c r="B85" t="s">
        <v>483</v>
      </c>
      <c r="C85" t="s">
        <v>15</v>
      </c>
      <c r="D85" t="s">
        <v>124</v>
      </c>
      <c r="E85" t="s">
        <v>26</v>
      </c>
      <c r="F85" t="s">
        <v>22</v>
      </c>
      <c r="G85">
        <v>22</v>
      </c>
      <c r="H85">
        <v>120000</v>
      </c>
      <c r="I85">
        <v>2640000</v>
      </c>
    </row>
    <row r="86" spans="1:9" x14ac:dyDescent="0.3">
      <c r="A86" s="1">
        <v>45849</v>
      </c>
      <c r="B86" t="s">
        <v>1007</v>
      </c>
      <c r="C86" t="s">
        <v>15</v>
      </c>
      <c r="D86" t="s">
        <v>116</v>
      </c>
      <c r="E86" t="s">
        <v>57</v>
      </c>
      <c r="F86" t="s">
        <v>29</v>
      </c>
      <c r="G86">
        <v>22</v>
      </c>
      <c r="H86">
        <v>120000</v>
      </c>
      <c r="I86">
        <v>2640000</v>
      </c>
    </row>
    <row r="87" spans="1:9" x14ac:dyDescent="0.3">
      <c r="A87" s="1">
        <v>45759</v>
      </c>
      <c r="B87" t="s">
        <v>1165</v>
      </c>
      <c r="C87" t="s">
        <v>53</v>
      </c>
      <c r="D87" t="s">
        <v>119</v>
      </c>
      <c r="E87" t="s">
        <v>36</v>
      </c>
      <c r="F87" t="s">
        <v>18</v>
      </c>
      <c r="G87">
        <v>22</v>
      </c>
      <c r="H87">
        <v>65000</v>
      </c>
      <c r="I87">
        <v>1430000</v>
      </c>
    </row>
    <row r="88" spans="1:9" x14ac:dyDescent="0.3">
      <c r="A88" s="1">
        <v>45787</v>
      </c>
      <c r="B88" t="s">
        <v>1206</v>
      </c>
      <c r="C88" t="s">
        <v>15</v>
      </c>
      <c r="D88" t="s">
        <v>101</v>
      </c>
      <c r="E88" t="s">
        <v>36</v>
      </c>
      <c r="F88" t="s">
        <v>13</v>
      </c>
      <c r="G88">
        <v>22</v>
      </c>
      <c r="H88">
        <v>120000</v>
      </c>
      <c r="I88">
        <v>2640000</v>
      </c>
    </row>
    <row r="89" spans="1:9" x14ac:dyDescent="0.3">
      <c r="A89" s="1">
        <v>45965</v>
      </c>
      <c r="B89" t="s">
        <v>310</v>
      </c>
      <c r="C89" t="s">
        <v>24</v>
      </c>
      <c r="D89" t="s">
        <v>47</v>
      </c>
      <c r="E89" t="s">
        <v>41</v>
      </c>
      <c r="F89" t="s">
        <v>22</v>
      </c>
      <c r="G89">
        <v>23</v>
      </c>
      <c r="H89">
        <v>55000</v>
      </c>
      <c r="I89">
        <v>1265000</v>
      </c>
    </row>
    <row r="90" spans="1:9" x14ac:dyDescent="0.3">
      <c r="A90" s="1">
        <v>45822</v>
      </c>
      <c r="B90" t="s">
        <v>757</v>
      </c>
      <c r="C90" t="s">
        <v>10</v>
      </c>
      <c r="D90" t="s">
        <v>54</v>
      </c>
      <c r="E90" t="s">
        <v>21</v>
      </c>
      <c r="F90" t="s">
        <v>18</v>
      </c>
      <c r="G90">
        <v>23</v>
      </c>
      <c r="H90">
        <v>75000</v>
      </c>
      <c r="I90">
        <v>1725000</v>
      </c>
    </row>
    <row r="91" spans="1:9" x14ac:dyDescent="0.3">
      <c r="A91" s="1">
        <v>45849</v>
      </c>
      <c r="B91" t="s">
        <v>901</v>
      </c>
      <c r="C91" t="s">
        <v>10</v>
      </c>
      <c r="D91" t="s">
        <v>38</v>
      </c>
      <c r="E91" t="s">
        <v>17</v>
      </c>
      <c r="F91" t="s">
        <v>33</v>
      </c>
      <c r="G91">
        <v>23</v>
      </c>
      <c r="H91">
        <v>75000</v>
      </c>
      <c r="I91">
        <v>1725000</v>
      </c>
    </row>
    <row r="92" spans="1:9" x14ac:dyDescent="0.3">
      <c r="A92" s="1">
        <v>45962</v>
      </c>
      <c r="B92" t="s">
        <v>1045</v>
      </c>
      <c r="C92" t="s">
        <v>15</v>
      </c>
      <c r="D92" t="s">
        <v>91</v>
      </c>
      <c r="E92" t="s">
        <v>17</v>
      </c>
      <c r="F92" t="s">
        <v>33</v>
      </c>
      <c r="G92">
        <v>23</v>
      </c>
      <c r="H92">
        <v>120000</v>
      </c>
      <c r="I92">
        <v>2760000</v>
      </c>
    </row>
    <row r="93" spans="1:9" x14ac:dyDescent="0.3">
      <c r="A93" s="1">
        <v>45977</v>
      </c>
      <c r="B93" t="s">
        <v>1073</v>
      </c>
      <c r="C93" t="s">
        <v>24</v>
      </c>
      <c r="D93" t="s">
        <v>104</v>
      </c>
      <c r="E93" t="s">
        <v>26</v>
      </c>
      <c r="F93" t="s">
        <v>29</v>
      </c>
      <c r="G93">
        <v>23</v>
      </c>
      <c r="H93">
        <v>55000</v>
      </c>
      <c r="I93">
        <v>1265000</v>
      </c>
    </row>
    <row r="94" spans="1:9" x14ac:dyDescent="0.3">
      <c r="A94" s="1">
        <v>45808</v>
      </c>
      <c r="B94" t="s">
        <v>1176</v>
      </c>
      <c r="C94" t="s">
        <v>53</v>
      </c>
      <c r="D94" t="s">
        <v>152</v>
      </c>
      <c r="E94" t="s">
        <v>36</v>
      </c>
      <c r="F94" t="s">
        <v>22</v>
      </c>
      <c r="G94">
        <v>23</v>
      </c>
      <c r="H94">
        <v>65000</v>
      </c>
      <c r="I94">
        <v>1495000</v>
      </c>
    </row>
    <row r="95" spans="1:9" x14ac:dyDescent="0.3">
      <c r="A95" s="1">
        <v>45890</v>
      </c>
      <c r="B95" t="s">
        <v>171</v>
      </c>
      <c r="C95" t="s">
        <v>10</v>
      </c>
      <c r="D95" t="s">
        <v>35</v>
      </c>
      <c r="E95" t="s">
        <v>36</v>
      </c>
      <c r="F95" t="s">
        <v>29</v>
      </c>
      <c r="G95">
        <v>24</v>
      </c>
      <c r="H95">
        <v>75000</v>
      </c>
      <c r="I95">
        <v>1800000</v>
      </c>
    </row>
    <row r="96" spans="1:9" x14ac:dyDescent="0.3">
      <c r="A96" s="1">
        <v>45716</v>
      </c>
      <c r="B96" t="s">
        <v>620</v>
      </c>
      <c r="C96" t="s">
        <v>10</v>
      </c>
      <c r="D96" t="s">
        <v>201</v>
      </c>
      <c r="E96" t="s">
        <v>21</v>
      </c>
      <c r="F96" t="s">
        <v>22</v>
      </c>
      <c r="G96">
        <v>24</v>
      </c>
      <c r="H96">
        <v>75000</v>
      </c>
      <c r="I96">
        <v>1800000</v>
      </c>
    </row>
    <row r="97" spans="1:9" x14ac:dyDescent="0.3">
      <c r="A97" s="1">
        <v>45781</v>
      </c>
      <c r="B97" t="s">
        <v>800</v>
      </c>
      <c r="C97" t="s">
        <v>15</v>
      </c>
      <c r="D97" t="s">
        <v>121</v>
      </c>
      <c r="E97" t="s">
        <v>32</v>
      </c>
      <c r="F97" t="s">
        <v>18</v>
      </c>
      <c r="G97">
        <v>24</v>
      </c>
      <c r="H97">
        <v>120000</v>
      </c>
      <c r="I97">
        <v>2880000</v>
      </c>
    </row>
    <row r="98" spans="1:9" x14ac:dyDescent="0.3">
      <c r="A98" s="1">
        <v>46012</v>
      </c>
      <c r="B98" t="s">
        <v>1083</v>
      </c>
      <c r="C98" t="s">
        <v>15</v>
      </c>
      <c r="D98" t="s">
        <v>305</v>
      </c>
      <c r="E98" t="s">
        <v>32</v>
      </c>
      <c r="F98" t="s">
        <v>22</v>
      </c>
      <c r="G98">
        <v>24</v>
      </c>
      <c r="H98">
        <v>120000</v>
      </c>
      <c r="I98">
        <v>2880000</v>
      </c>
    </row>
    <row r="99" spans="1:9" x14ac:dyDescent="0.3">
      <c r="A99" s="1">
        <v>46022</v>
      </c>
      <c r="B99" t="s">
        <v>23</v>
      </c>
      <c r="C99" t="s">
        <v>24</v>
      </c>
      <c r="D99" t="s">
        <v>25</v>
      </c>
      <c r="E99" t="s">
        <v>26</v>
      </c>
      <c r="F99" t="s">
        <v>13</v>
      </c>
      <c r="G99">
        <v>25</v>
      </c>
      <c r="H99">
        <v>55000</v>
      </c>
      <c r="I99">
        <v>1375000</v>
      </c>
    </row>
    <row r="100" spans="1:9" x14ac:dyDescent="0.3">
      <c r="A100" s="1">
        <v>45857</v>
      </c>
      <c r="B100" t="s">
        <v>301</v>
      </c>
      <c r="C100" t="s">
        <v>15</v>
      </c>
      <c r="D100" t="s">
        <v>99</v>
      </c>
      <c r="E100" t="s">
        <v>32</v>
      </c>
      <c r="F100" t="s">
        <v>13</v>
      </c>
      <c r="G100">
        <v>25</v>
      </c>
      <c r="H100">
        <v>120000</v>
      </c>
      <c r="I100">
        <v>3000000</v>
      </c>
    </row>
    <row r="101" spans="1:9" x14ac:dyDescent="0.3">
      <c r="A101" s="1">
        <v>45693</v>
      </c>
      <c r="B101" t="s">
        <v>371</v>
      </c>
      <c r="C101" t="s">
        <v>10</v>
      </c>
      <c r="D101" t="s">
        <v>305</v>
      </c>
      <c r="E101" t="s">
        <v>32</v>
      </c>
      <c r="F101" t="s">
        <v>29</v>
      </c>
      <c r="G101">
        <v>25</v>
      </c>
      <c r="H101">
        <v>75000</v>
      </c>
      <c r="I101">
        <v>1875000</v>
      </c>
    </row>
    <row r="102" spans="1:9" x14ac:dyDescent="0.3">
      <c r="A102" s="1">
        <v>45936</v>
      </c>
      <c r="B102" t="s">
        <v>1208</v>
      </c>
      <c r="C102" t="s">
        <v>10</v>
      </c>
      <c r="D102" t="s">
        <v>251</v>
      </c>
      <c r="E102" t="s">
        <v>12</v>
      </c>
      <c r="F102" t="s">
        <v>29</v>
      </c>
      <c r="G102">
        <v>25</v>
      </c>
      <c r="H102">
        <v>75000</v>
      </c>
      <c r="I102">
        <v>1875000</v>
      </c>
    </row>
    <row r="103" spans="1:9" x14ac:dyDescent="0.3">
      <c r="A103" s="1">
        <v>45793</v>
      </c>
      <c r="B103" t="s">
        <v>30</v>
      </c>
      <c r="C103" t="s">
        <v>10</v>
      </c>
      <c r="D103" t="s">
        <v>31</v>
      </c>
      <c r="E103" t="s">
        <v>32</v>
      </c>
      <c r="F103" t="s">
        <v>33</v>
      </c>
      <c r="G103">
        <v>26</v>
      </c>
      <c r="H103">
        <v>75000</v>
      </c>
      <c r="I103">
        <v>1950000</v>
      </c>
    </row>
    <row r="104" spans="1:9" x14ac:dyDescent="0.3">
      <c r="A104" s="1">
        <v>45792</v>
      </c>
      <c r="B104" t="s">
        <v>322</v>
      </c>
      <c r="C104" t="s">
        <v>10</v>
      </c>
      <c r="D104" t="s">
        <v>152</v>
      </c>
      <c r="E104" t="s">
        <v>36</v>
      </c>
      <c r="F104" t="s">
        <v>33</v>
      </c>
      <c r="G104">
        <v>26</v>
      </c>
      <c r="H104">
        <v>75000</v>
      </c>
      <c r="I104">
        <v>1950000</v>
      </c>
    </row>
    <row r="105" spans="1:9" x14ac:dyDescent="0.3">
      <c r="A105" s="1">
        <v>45861</v>
      </c>
      <c r="B105" t="s">
        <v>365</v>
      </c>
      <c r="C105" t="s">
        <v>53</v>
      </c>
      <c r="D105" t="s">
        <v>89</v>
      </c>
      <c r="E105" t="s">
        <v>12</v>
      </c>
      <c r="F105" t="s">
        <v>13</v>
      </c>
      <c r="G105">
        <v>26</v>
      </c>
      <c r="H105">
        <v>65000</v>
      </c>
      <c r="I105">
        <v>1690000</v>
      </c>
    </row>
    <row r="106" spans="1:9" x14ac:dyDescent="0.3">
      <c r="A106" s="1">
        <v>45959</v>
      </c>
      <c r="B106" t="s">
        <v>541</v>
      </c>
      <c r="C106" t="s">
        <v>15</v>
      </c>
      <c r="D106" t="s">
        <v>93</v>
      </c>
      <c r="E106" t="s">
        <v>41</v>
      </c>
      <c r="F106" t="s">
        <v>22</v>
      </c>
      <c r="G106">
        <v>26</v>
      </c>
      <c r="H106">
        <v>120000</v>
      </c>
      <c r="I106">
        <v>3120000</v>
      </c>
    </row>
    <row r="107" spans="1:9" x14ac:dyDescent="0.3">
      <c r="A107" s="1">
        <v>45910</v>
      </c>
      <c r="B107" t="s">
        <v>659</v>
      </c>
      <c r="C107" t="s">
        <v>10</v>
      </c>
      <c r="D107" t="s">
        <v>61</v>
      </c>
      <c r="E107" t="s">
        <v>17</v>
      </c>
      <c r="F107" t="s">
        <v>22</v>
      </c>
      <c r="G107">
        <v>26</v>
      </c>
      <c r="H107">
        <v>75000</v>
      </c>
      <c r="I107">
        <v>1950000</v>
      </c>
    </row>
    <row r="108" spans="1:9" x14ac:dyDescent="0.3">
      <c r="A108" s="1">
        <v>45827</v>
      </c>
      <c r="B108" t="s">
        <v>669</v>
      </c>
      <c r="C108" t="s">
        <v>24</v>
      </c>
      <c r="D108" t="s">
        <v>73</v>
      </c>
      <c r="E108" t="s">
        <v>36</v>
      </c>
      <c r="F108" t="s">
        <v>33</v>
      </c>
      <c r="G108">
        <v>26</v>
      </c>
      <c r="H108">
        <v>55000</v>
      </c>
      <c r="I108">
        <v>1430000</v>
      </c>
    </row>
    <row r="109" spans="1:9" x14ac:dyDescent="0.3">
      <c r="A109" s="1">
        <v>45885</v>
      </c>
      <c r="B109" t="s">
        <v>748</v>
      </c>
      <c r="C109" t="s">
        <v>24</v>
      </c>
      <c r="D109" t="s">
        <v>28</v>
      </c>
      <c r="E109" t="s">
        <v>17</v>
      </c>
      <c r="F109" t="s">
        <v>13</v>
      </c>
      <c r="G109">
        <v>26</v>
      </c>
      <c r="H109">
        <v>55000</v>
      </c>
      <c r="I109">
        <v>1430000</v>
      </c>
    </row>
    <row r="110" spans="1:9" x14ac:dyDescent="0.3">
      <c r="A110" s="1">
        <v>45752</v>
      </c>
      <c r="B110" t="s">
        <v>194</v>
      </c>
      <c r="C110" t="s">
        <v>53</v>
      </c>
      <c r="D110" t="s">
        <v>89</v>
      </c>
      <c r="E110" t="s">
        <v>12</v>
      </c>
      <c r="F110" t="s">
        <v>33</v>
      </c>
      <c r="G110">
        <v>27</v>
      </c>
      <c r="H110">
        <v>65000</v>
      </c>
      <c r="I110">
        <v>1755000</v>
      </c>
    </row>
    <row r="111" spans="1:9" x14ac:dyDescent="0.3">
      <c r="A111" s="1">
        <v>45876</v>
      </c>
      <c r="B111" t="s">
        <v>538</v>
      </c>
      <c r="C111" t="s">
        <v>10</v>
      </c>
      <c r="D111" t="s">
        <v>110</v>
      </c>
      <c r="E111" t="s">
        <v>32</v>
      </c>
      <c r="F111" t="s">
        <v>29</v>
      </c>
      <c r="G111">
        <v>27</v>
      </c>
      <c r="H111">
        <v>75000</v>
      </c>
      <c r="I111">
        <v>2025000</v>
      </c>
    </row>
    <row r="112" spans="1:9" x14ac:dyDescent="0.3">
      <c r="A112" s="1">
        <v>45919</v>
      </c>
      <c r="B112" t="s">
        <v>779</v>
      </c>
      <c r="C112" t="s">
        <v>15</v>
      </c>
      <c r="D112" t="s">
        <v>91</v>
      </c>
      <c r="E112" t="s">
        <v>17</v>
      </c>
      <c r="F112" t="s">
        <v>13</v>
      </c>
      <c r="G112">
        <v>27</v>
      </c>
      <c r="H112">
        <v>120000</v>
      </c>
      <c r="I112">
        <v>3240000</v>
      </c>
    </row>
    <row r="113" spans="1:9" x14ac:dyDescent="0.3">
      <c r="A113" s="1">
        <v>45921</v>
      </c>
      <c r="B113" t="s">
        <v>868</v>
      </c>
      <c r="C113" t="s">
        <v>24</v>
      </c>
      <c r="D113" t="s">
        <v>63</v>
      </c>
      <c r="E113" t="s">
        <v>32</v>
      </c>
      <c r="F113" t="s">
        <v>22</v>
      </c>
      <c r="G113">
        <v>27</v>
      </c>
      <c r="H113">
        <v>55000</v>
      </c>
      <c r="I113">
        <v>1485000</v>
      </c>
    </row>
    <row r="114" spans="1:9" x14ac:dyDescent="0.3">
      <c r="A114" s="1">
        <v>45979</v>
      </c>
      <c r="B114" t="s">
        <v>1066</v>
      </c>
      <c r="C114" t="s">
        <v>24</v>
      </c>
      <c r="D114" t="s">
        <v>191</v>
      </c>
      <c r="E114" t="s">
        <v>57</v>
      </c>
      <c r="F114" t="s">
        <v>13</v>
      </c>
      <c r="G114">
        <v>27</v>
      </c>
      <c r="H114">
        <v>55000</v>
      </c>
      <c r="I114">
        <v>1485000</v>
      </c>
    </row>
    <row r="115" spans="1:9" x14ac:dyDescent="0.3">
      <c r="A115" s="1">
        <v>45866</v>
      </c>
      <c r="B115" t="s">
        <v>1115</v>
      </c>
      <c r="C115" t="s">
        <v>15</v>
      </c>
      <c r="D115" t="s">
        <v>86</v>
      </c>
      <c r="E115" t="s">
        <v>12</v>
      </c>
      <c r="F115" t="s">
        <v>22</v>
      </c>
      <c r="G115">
        <v>27</v>
      </c>
      <c r="H115">
        <v>120000</v>
      </c>
      <c r="I115">
        <v>3240000</v>
      </c>
    </row>
    <row r="116" spans="1:9" x14ac:dyDescent="0.3">
      <c r="A116" s="1">
        <v>45994</v>
      </c>
      <c r="B116" t="s">
        <v>420</v>
      </c>
      <c r="C116" t="s">
        <v>15</v>
      </c>
      <c r="D116" t="s">
        <v>28</v>
      </c>
      <c r="E116" t="s">
        <v>17</v>
      </c>
      <c r="F116" t="s">
        <v>29</v>
      </c>
      <c r="G116">
        <v>28</v>
      </c>
      <c r="H116">
        <v>120000</v>
      </c>
      <c r="I116">
        <v>3360000</v>
      </c>
    </row>
    <row r="117" spans="1:9" x14ac:dyDescent="0.3">
      <c r="A117" s="1">
        <v>46005</v>
      </c>
      <c r="B117" t="s">
        <v>797</v>
      </c>
      <c r="C117" t="s">
        <v>15</v>
      </c>
      <c r="D117" t="s">
        <v>141</v>
      </c>
      <c r="E117" t="s">
        <v>21</v>
      </c>
      <c r="F117" t="s">
        <v>29</v>
      </c>
      <c r="G117">
        <v>28</v>
      </c>
      <c r="H117">
        <v>120000</v>
      </c>
      <c r="I117">
        <v>3360000</v>
      </c>
    </row>
    <row r="118" spans="1:9" x14ac:dyDescent="0.3">
      <c r="A118" s="1">
        <v>45899</v>
      </c>
      <c r="B118" t="s">
        <v>880</v>
      </c>
      <c r="C118" t="s">
        <v>15</v>
      </c>
      <c r="D118" t="s">
        <v>91</v>
      </c>
      <c r="E118" t="s">
        <v>17</v>
      </c>
      <c r="F118" t="s">
        <v>18</v>
      </c>
      <c r="G118">
        <v>28</v>
      </c>
      <c r="H118">
        <v>120000</v>
      </c>
      <c r="I118">
        <v>3360000</v>
      </c>
    </row>
    <row r="119" spans="1:9" x14ac:dyDescent="0.3">
      <c r="A119" s="1">
        <v>45763</v>
      </c>
      <c r="B119" t="s">
        <v>929</v>
      </c>
      <c r="C119" t="s">
        <v>53</v>
      </c>
      <c r="D119" t="s">
        <v>141</v>
      </c>
      <c r="E119" t="s">
        <v>21</v>
      </c>
      <c r="F119" t="s">
        <v>33</v>
      </c>
      <c r="G119">
        <v>28</v>
      </c>
      <c r="H119">
        <v>65000</v>
      </c>
      <c r="I119">
        <v>1820000</v>
      </c>
    </row>
    <row r="120" spans="1:9" x14ac:dyDescent="0.3">
      <c r="A120" s="1">
        <v>45734</v>
      </c>
      <c r="B120" t="s">
        <v>1274</v>
      </c>
      <c r="C120" t="s">
        <v>10</v>
      </c>
      <c r="D120" t="s">
        <v>61</v>
      </c>
      <c r="E120" t="s">
        <v>17</v>
      </c>
      <c r="F120" t="s">
        <v>33</v>
      </c>
      <c r="G120">
        <v>28</v>
      </c>
      <c r="H120">
        <v>75000</v>
      </c>
      <c r="I120">
        <v>2100000</v>
      </c>
    </row>
    <row r="121" spans="1:9" x14ac:dyDescent="0.3">
      <c r="A121" s="1">
        <v>45792</v>
      </c>
      <c r="B121" t="s">
        <v>391</v>
      </c>
      <c r="C121" t="s">
        <v>24</v>
      </c>
      <c r="D121" t="s">
        <v>31</v>
      </c>
      <c r="E121" t="s">
        <v>32</v>
      </c>
      <c r="F121" t="s">
        <v>33</v>
      </c>
      <c r="G121">
        <v>29</v>
      </c>
      <c r="H121">
        <v>55000</v>
      </c>
      <c r="I121">
        <v>1595000</v>
      </c>
    </row>
    <row r="122" spans="1:9" x14ac:dyDescent="0.3">
      <c r="A122" s="1">
        <v>45900</v>
      </c>
      <c r="B122" t="s">
        <v>426</v>
      </c>
      <c r="C122" t="s">
        <v>15</v>
      </c>
      <c r="D122" t="s">
        <v>45</v>
      </c>
      <c r="E122" t="s">
        <v>12</v>
      </c>
      <c r="F122" t="s">
        <v>13</v>
      </c>
      <c r="G122">
        <v>29</v>
      </c>
      <c r="H122">
        <v>120000</v>
      </c>
      <c r="I122">
        <v>3480000</v>
      </c>
    </row>
    <row r="123" spans="1:9" x14ac:dyDescent="0.3">
      <c r="A123" s="1">
        <v>45833</v>
      </c>
      <c r="B123" t="s">
        <v>609</v>
      </c>
      <c r="C123" t="s">
        <v>53</v>
      </c>
      <c r="D123" t="s">
        <v>68</v>
      </c>
      <c r="E123" t="s">
        <v>21</v>
      </c>
      <c r="F123" t="s">
        <v>22</v>
      </c>
      <c r="G123">
        <v>29</v>
      </c>
      <c r="H123">
        <v>65000</v>
      </c>
      <c r="I123">
        <v>1885000</v>
      </c>
    </row>
    <row r="124" spans="1:9" x14ac:dyDescent="0.3">
      <c r="A124" s="1">
        <v>45837</v>
      </c>
      <c r="B124" t="s">
        <v>842</v>
      </c>
      <c r="C124" t="s">
        <v>10</v>
      </c>
      <c r="D124" t="s">
        <v>133</v>
      </c>
      <c r="E124" t="s">
        <v>17</v>
      </c>
      <c r="F124" t="s">
        <v>13</v>
      </c>
      <c r="G124">
        <v>29</v>
      </c>
      <c r="H124">
        <v>75000</v>
      </c>
      <c r="I124">
        <v>2175000</v>
      </c>
    </row>
    <row r="125" spans="1:9" x14ac:dyDescent="0.3">
      <c r="A125" s="1">
        <v>45956</v>
      </c>
      <c r="B125" t="s">
        <v>1009</v>
      </c>
      <c r="C125" t="s">
        <v>15</v>
      </c>
      <c r="D125" t="s">
        <v>83</v>
      </c>
      <c r="E125" t="s">
        <v>21</v>
      </c>
      <c r="F125" t="s">
        <v>22</v>
      </c>
      <c r="G125">
        <v>29</v>
      </c>
      <c r="H125">
        <v>120000</v>
      </c>
      <c r="I125">
        <v>3480000</v>
      </c>
    </row>
    <row r="126" spans="1:9" x14ac:dyDescent="0.3">
      <c r="A126" s="1">
        <v>45908</v>
      </c>
      <c r="B126" t="s">
        <v>1220</v>
      </c>
      <c r="C126" t="s">
        <v>15</v>
      </c>
      <c r="D126" t="s">
        <v>45</v>
      </c>
      <c r="E126" t="s">
        <v>12</v>
      </c>
      <c r="F126" t="s">
        <v>13</v>
      </c>
      <c r="G126">
        <v>29</v>
      </c>
      <c r="H126">
        <v>120000</v>
      </c>
      <c r="I126">
        <v>3480000</v>
      </c>
    </row>
    <row r="127" spans="1:9" x14ac:dyDescent="0.3">
      <c r="A127" s="1">
        <v>45816</v>
      </c>
      <c r="B127" t="s">
        <v>1253</v>
      </c>
      <c r="C127" t="s">
        <v>53</v>
      </c>
      <c r="D127" t="s">
        <v>28</v>
      </c>
      <c r="E127" t="s">
        <v>17</v>
      </c>
      <c r="F127" t="s">
        <v>29</v>
      </c>
      <c r="G127">
        <v>29</v>
      </c>
      <c r="H127">
        <v>65000</v>
      </c>
      <c r="I127">
        <v>1885000</v>
      </c>
    </row>
    <row r="128" spans="1:9" x14ac:dyDescent="0.3">
      <c r="A128" s="1">
        <v>45958</v>
      </c>
      <c r="B128" t="s">
        <v>283</v>
      </c>
      <c r="C128" t="s">
        <v>10</v>
      </c>
      <c r="D128" t="s">
        <v>71</v>
      </c>
      <c r="E128" t="s">
        <v>21</v>
      </c>
      <c r="F128" t="s">
        <v>33</v>
      </c>
      <c r="G128">
        <v>30</v>
      </c>
      <c r="H128">
        <v>75000</v>
      </c>
      <c r="I128">
        <v>2250000</v>
      </c>
    </row>
    <row r="129" spans="1:9" x14ac:dyDescent="0.3">
      <c r="A129" s="1">
        <v>45671</v>
      </c>
      <c r="B129" t="s">
        <v>393</v>
      </c>
      <c r="C129" t="s">
        <v>24</v>
      </c>
      <c r="D129" t="s">
        <v>20</v>
      </c>
      <c r="E129" t="s">
        <v>21</v>
      </c>
      <c r="F129" t="s">
        <v>29</v>
      </c>
      <c r="G129">
        <v>30</v>
      </c>
      <c r="H129">
        <v>55000</v>
      </c>
      <c r="I129">
        <v>1650000</v>
      </c>
    </row>
    <row r="130" spans="1:9" x14ac:dyDescent="0.3">
      <c r="A130" s="1">
        <v>45759</v>
      </c>
      <c r="B130" t="s">
        <v>675</v>
      </c>
      <c r="C130" t="s">
        <v>10</v>
      </c>
      <c r="D130" t="s">
        <v>38</v>
      </c>
      <c r="E130" t="s">
        <v>17</v>
      </c>
      <c r="F130" t="s">
        <v>22</v>
      </c>
      <c r="G130">
        <v>30</v>
      </c>
      <c r="H130">
        <v>75000</v>
      </c>
      <c r="I130">
        <v>2250000</v>
      </c>
    </row>
    <row r="131" spans="1:9" x14ac:dyDescent="0.3">
      <c r="A131" s="1">
        <v>45886</v>
      </c>
      <c r="B131" t="s">
        <v>1218</v>
      </c>
      <c r="C131" t="s">
        <v>10</v>
      </c>
      <c r="D131" t="s">
        <v>35</v>
      </c>
      <c r="E131" t="s">
        <v>36</v>
      </c>
      <c r="F131" t="s">
        <v>29</v>
      </c>
      <c r="G131">
        <v>30</v>
      </c>
      <c r="H131">
        <v>75000</v>
      </c>
      <c r="I131">
        <v>2250000</v>
      </c>
    </row>
    <row r="132" spans="1:9" x14ac:dyDescent="0.3">
      <c r="A132" s="1">
        <v>45711</v>
      </c>
      <c r="B132" t="s">
        <v>1269</v>
      </c>
      <c r="C132" t="s">
        <v>24</v>
      </c>
      <c r="D132" t="s">
        <v>305</v>
      </c>
      <c r="E132" t="s">
        <v>32</v>
      </c>
      <c r="F132" t="s">
        <v>18</v>
      </c>
      <c r="G132">
        <v>30</v>
      </c>
      <c r="H132">
        <v>55000</v>
      </c>
      <c r="I132">
        <v>1650000</v>
      </c>
    </row>
    <row r="133" spans="1:9" x14ac:dyDescent="0.3">
      <c r="A133" s="1">
        <v>45691</v>
      </c>
      <c r="B133" t="s">
        <v>216</v>
      </c>
      <c r="C133" t="s">
        <v>15</v>
      </c>
      <c r="D133" t="s">
        <v>49</v>
      </c>
      <c r="E133" t="s">
        <v>26</v>
      </c>
      <c r="F133" t="s">
        <v>13</v>
      </c>
      <c r="G133">
        <v>31</v>
      </c>
      <c r="H133">
        <v>120000</v>
      </c>
      <c r="I133">
        <v>3720000</v>
      </c>
    </row>
    <row r="134" spans="1:9" x14ac:dyDescent="0.3">
      <c r="A134" s="1">
        <v>45841</v>
      </c>
      <c r="B134" t="s">
        <v>712</v>
      </c>
      <c r="C134" t="s">
        <v>15</v>
      </c>
      <c r="D134" t="s">
        <v>121</v>
      </c>
      <c r="E134" t="s">
        <v>32</v>
      </c>
      <c r="F134" t="s">
        <v>13</v>
      </c>
      <c r="G134">
        <v>31</v>
      </c>
      <c r="H134">
        <v>120000</v>
      </c>
      <c r="I134">
        <v>3720000</v>
      </c>
    </row>
    <row r="135" spans="1:9" x14ac:dyDescent="0.3">
      <c r="A135" s="1">
        <v>45806</v>
      </c>
      <c r="B135" t="s">
        <v>888</v>
      </c>
      <c r="C135" t="s">
        <v>24</v>
      </c>
      <c r="D135" t="s">
        <v>43</v>
      </c>
      <c r="E135" t="s">
        <v>26</v>
      </c>
      <c r="F135" t="s">
        <v>29</v>
      </c>
      <c r="G135">
        <v>31</v>
      </c>
      <c r="H135">
        <v>55000</v>
      </c>
      <c r="I135">
        <v>1705000</v>
      </c>
    </row>
    <row r="136" spans="1:9" x14ac:dyDescent="0.3">
      <c r="A136" s="1">
        <v>46014</v>
      </c>
      <c r="B136" t="s">
        <v>973</v>
      </c>
      <c r="C136" t="s">
        <v>53</v>
      </c>
      <c r="D136" t="s">
        <v>121</v>
      </c>
      <c r="E136" t="s">
        <v>32</v>
      </c>
      <c r="F136" t="s">
        <v>33</v>
      </c>
      <c r="G136">
        <v>31</v>
      </c>
      <c r="H136">
        <v>65000</v>
      </c>
      <c r="I136">
        <v>2015000</v>
      </c>
    </row>
    <row r="137" spans="1:9" x14ac:dyDescent="0.3">
      <c r="A137" s="1">
        <v>45813</v>
      </c>
      <c r="B137" t="s">
        <v>1050</v>
      </c>
      <c r="C137" t="s">
        <v>53</v>
      </c>
      <c r="D137" t="s">
        <v>184</v>
      </c>
      <c r="E137" t="s">
        <v>57</v>
      </c>
      <c r="F137" t="s">
        <v>29</v>
      </c>
      <c r="G137">
        <v>31</v>
      </c>
      <c r="H137">
        <v>65000</v>
      </c>
      <c r="I137">
        <v>2015000</v>
      </c>
    </row>
    <row r="138" spans="1:9" x14ac:dyDescent="0.3">
      <c r="A138" s="1">
        <v>45674</v>
      </c>
      <c r="B138" t="s">
        <v>1121</v>
      </c>
      <c r="C138" t="s">
        <v>15</v>
      </c>
      <c r="D138" t="s">
        <v>91</v>
      </c>
      <c r="E138" t="s">
        <v>17</v>
      </c>
      <c r="F138" t="s">
        <v>33</v>
      </c>
      <c r="G138">
        <v>31</v>
      </c>
      <c r="H138">
        <v>120000</v>
      </c>
      <c r="I138">
        <v>3720000</v>
      </c>
    </row>
    <row r="139" spans="1:9" x14ac:dyDescent="0.3">
      <c r="A139" s="1">
        <v>45727</v>
      </c>
      <c r="B139" t="s">
        <v>313</v>
      </c>
      <c r="C139" t="s">
        <v>24</v>
      </c>
      <c r="D139" t="s">
        <v>61</v>
      </c>
      <c r="E139" t="s">
        <v>17</v>
      </c>
      <c r="F139" t="s">
        <v>18</v>
      </c>
      <c r="G139">
        <v>32</v>
      </c>
      <c r="H139">
        <v>55000</v>
      </c>
      <c r="I139">
        <v>1760000</v>
      </c>
    </row>
    <row r="140" spans="1:9" x14ac:dyDescent="0.3">
      <c r="A140" s="1">
        <v>46005</v>
      </c>
      <c r="B140" t="s">
        <v>325</v>
      </c>
      <c r="C140" t="s">
        <v>15</v>
      </c>
      <c r="D140" t="s">
        <v>136</v>
      </c>
      <c r="E140" t="s">
        <v>36</v>
      </c>
      <c r="F140" t="s">
        <v>22</v>
      </c>
      <c r="G140">
        <v>32</v>
      </c>
      <c r="H140">
        <v>120000</v>
      </c>
      <c r="I140">
        <v>3840000</v>
      </c>
    </row>
    <row r="141" spans="1:9" x14ac:dyDescent="0.3">
      <c r="A141" s="1">
        <v>45735</v>
      </c>
      <c r="B141" t="s">
        <v>376</v>
      </c>
      <c r="C141" t="s">
        <v>24</v>
      </c>
      <c r="D141" t="s">
        <v>43</v>
      </c>
      <c r="E141" t="s">
        <v>26</v>
      </c>
      <c r="F141" t="s">
        <v>13</v>
      </c>
      <c r="G141">
        <v>32</v>
      </c>
      <c r="H141">
        <v>55000</v>
      </c>
      <c r="I141">
        <v>1760000</v>
      </c>
    </row>
    <row r="142" spans="1:9" x14ac:dyDescent="0.3">
      <c r="A142" s="1">
        <v>45719</v>
      </c>
      <c r="B142" t="s">
        <v>458</v>
      </c>
      <c r="C142" t="s">
        <v>53</v>
      </c>
      <c r="D142" t="s">
        <v>124</v>
      </c>
      <c r="E142" t="s">
        <v>26</v>
      </c>
      <c r="F142" t="s">
        <v>29</v>
      </c>
      <c r="G142">
        <v>32</v>
      </c>
      <c r="H142">
        <v>65000</v>
      </c>
      <c r="I142">
        <v>2080000</v>
      </c>
    </row>
    <row r="143" spans="1:9" x14ac:dyDescent="0.3">
      <c r="A143" s="1">
        <v>45941</v>
      </c>
      <c r="B143" t="s">
        <v>557</v>
      </c>
      <c r="C143" t="s">
        <v>10</v>
      </c>
      <c r="D143" t="s">
        <v>79</v>
      </c>
      <c r="E143" t="s">
        <v>36</v>
      </c>
      <c r="F143" t="s">
        <v>13</v>
      </c>
      <c r="G143">
        <v>32</v>
      </c>
      <c r="H143">
        <v>75000</v>
      </c>
      <c r="I143">
        <v>2400000</v>
      </c>
    </row>
    <row r="144" spans="1:9" x14ac:dyDescent="0.3">
      <c r="A144" s="1">
        <v>45690</v>
      </c>
      <c r="B144" t="s">
        <v>576</v>
      </c>
      <c r="C144" t="s">
        <v>53</v>
      </c>
      <c r="D144" t="s">
        <v>61</v>
      </c>
      <c r="E144" t="s">
        <v>17</v>
      </c>
      <c r="F144" t="s">
        <v>18</v>
      </c>
      <c r="G144">
        <v>32</v>
      </c>
      <c r="H144">
        <v>65000</v>
      </c>
      <c r="I144">
        <v>2080000</v>
      </c>
    </row>
    <row r="145" spans="1:9" x14ac:dyDescent="0.3">
      <c r="A145" s="1">
        <v>46019</v>
      </c>
      <c r="B145" t="s">
        <v>691</v>
      </c>
      <c r="C145" t="s">
        <v>10</v>
      </c>
      <c r="D145" t="s">
        <v>79</v>
      </c>
      <c r="E145" t="s">
        <v>36</v>
      </c>
      <c r="F145" t="s">
        <v>13</v>
      </c>
      <c r="G145">
        <v>32</v>
      </c>
      <c r="H145">
        <v>75000</v>
      </c>
      <c r="I145">
        <v>2400000</v>
      </c>
    </row>
    <row r="146" spans="1:9" x14ac:dyDescent="0.3">
      <c r="A146" s="1">
        <v>45948</v>
      </c>
      <c r="B146" t="s">
        <v>750</v>
      </c>
      <c r="C146" t="s">
        <v>15</v>
      </c>
      <c r="D146" t="s">
        <v>63</v>
      </c>
      <c r="E146" t="s">
        <v>32</v>
      </c>
      <c r="F146" t="s">
        <v>33</v>
      </c>
      <c r="G146">
        <v>32</v>
      </c>
      <c r="H146">
        <v>120000</v>
      </c>
      <c r="I146">
        <v>3840000</v>
      </c>
    </row>
    <row r="147" spans="1:9" x14ac:dyDescent="0.3">
      <c r="A147" s="1">
        <v>45777</v>
      </c>
      <c r="B147" t="s">
        <v>791</v>
      </c>
      <c r="C147" t="s">
        <v>53</v>
      </c>
      <c r="D147" t="s">
        <v>65</v>
      </c>
      <c r="E147" t="s">
        <v>21</v>
      </c>
      <c r="F147" t="s">
        <v>33</v>
      </c>
      <c r="G147">
        <v>32</v>
      </c>
      <c r="H147">
        <v>65000</v>
      </c>
      <c r="I147">
        <v>2080000</v>
      </c>
    </row>
    <row r="148" spans="1:9" x14ac:dyDescent="0.3">
      <c r="A148" s="1">
        <v>45974</v>
      </c>
      <c r="B148" t="s">
        <v>872</v>
      </c>
      <c r="C148" t="s">
        <v>24</v>
      </c>
      <c r="D148" t="s">
        <v>31</v>
      </c>
      <c r="E148" t="s">
        <v>32</v>
      </c>
      <c r="F148" t="s">
        <v>29</v>
      </c>
      <c r="G148">
        <v>32</v>
      </c>
      <c r="H148">
        <v>55000</v>
      </c>
      <c r="I148">
        <v>1760000</v>
      </c>
    </row>
    <row r="149" spans="1:9" x14ac:dyDescent="0.3">
      <c r="A149" s="1">
        <v>45673</v>
      </c>
      <c r="B149" t="s">
        <v>48</v>
      </c>
      <c r="C149" t="s">
        <v>15</v>
      </c>
      <c r="D149" t="s">
        <v>49</v>
      </c>
      <c r="E149" t="s">
        <v>26</v>
      </c>
      <c r="F149" t="s">
        <v>18</v>
      </c>
      <c r="G149">
        <v>33</v>
      </c>
      <c r="H149">
        <v>120000</v>
      </c>
      <c r="I149">
        <v>3960000</v>
      </c>
    </row>
    <row r="150" spans="1:9" x14ac:dyDescent="0.3">
      <c r="A150" s="1">
        <v>45815</v>
      </c>
      <c r="B150" t="s">
        <v>332</v>
      </c>
      <c r="C150" t="s">
        <v>10</v>
      </c>
      <c r="D150" t="s">
        <v>56</v>
      </c>
      <c r="E150" t="s">
        <v>57</v>
      </c>
      <c r="F150" t="s">
        <v>33</v>
      </c>
      <c r="G150">
        <v>33</v>
      </c>
      <c r="H150">
        <v>75000</v>
      </c>
      <c r="I150">
        <v>2475000</v>
      </c>
    </row>
    <row r="151" spans="1:9" x14ac:dyDescent="0.3">
      <c r="A151" s="1">
        <v>45826</v>
      </c>
      <c r="B151" t="s">
        <v>392</v>
      </c>
      <c r="C151" t="s">
        <v>53</v>
      </c>
      <c r="D151" t="s">
        <v>89</v>
      </c>
      <c r="E151" t="s">
        <v>12</v>
      </c>
      <c r="F151" t="s">
        <v>33</v>
      </c>
      <c r="G151">
        <v>33</v>
      </c>
      <c r="H151">
        <v>65000</v>
      </c>
      <c r="I151">
        <v>2145000</v>
      </c>
    </row>
    <row r="152" spans="1:9" x14ac:dyDescent="0.3">
      <c r="A152" s="1">
        <v>45906</v>
      </c>
      <c r="B152" t="s">
        <v>447</v>
      </c>
      <c r="C152" t="s">
        <v>15</v>
      </c>
      <c r="D152" t="s">
        <v>11</v>
      </c>
      <c r="E152" t="s">
        <v>12</v>
      </c>
      <c r="F152" t="s">
        <v>22</v>
      </c>
      <c r="G152">
        <v>33</v>
      </c>
      <c r="H152">
        <v>120000</v>
      </c>
      <c r="I152">
        <v>3960000</v>
      </c>
    </row>
    <row r="153" spans="1:9" x14ac:dyDescent="0.3">
      <c r="A153" s="1">
        <v>45876</v>
      </c>
      <c r="B153" t="s">
        <v>497</v>
      </c>
      <c r="C153" t="s">
        <v>15</v>
      </c>
      <c r="D153" t="s">
        <v>31</v>
      </c>
      <c r="E153" t="s">
        <v>32</v>
      </c>
      <c r="F153" t="s">
        <v>29</v>
      </c>
      <c r="G153">
        <v>33</v>
      </c>
      <c r="H153">
        <v>120000</v>
      </c>
      <c r="I153">
        <v>3960000</v>
      </c>
    </row>
    <row r="154" spans="1:9" x14ac:dyDescent="0.3">
      <c r="A154" s="1">
        <v>45876</v>
      </c>
      <c r="B154" t="s">
        <v>242</v>
      </c>
      <c r="C154" t="s">
        <v>24</v>
      </c>
      <c r="D154" t="s">
        <v>56</v>
      </c>
      <c r="E154" t="s">
        <v>57</v>
      </c>
      <c r="F154" t="s">
        <v>18</v>
      </c>
      <c r="G154">
        <v>34</v>
      </c>
      <c r="H154">
        <v>55000</v>
      </c>
      <c r="I154">
        <v>1870000</v>
      </c>
    </row>
    <row r="155" spans="1:9" x14ac:dyDescent="0.3">
      <c r="A155" s="1">
        <v>46021</v>
      </c>
      <c r="B155" t="s">
        <v>324</v>
      </c>
      <c r="C155" t="s">
        <v>10</v>
      </c>
      <c r="D155" t="s">
        <v>133</v>
      </c>
      <c r="E155" t="s">
        <v>17</v>
      </c>
      <c r="F155" t="s">
        <v>18</v>
      </c>
      <c r="G155">
        <v>34</v>
      </c>
      <c r="H155">
        <v>75000</v>
      </c>
      <c r="I155">
        <v>2550000</v>
      </c>
    </row>
    <row r="156" spans="1:9" x14ac:dyDescent="0.3">
      <c r="A156" s="1">
        <v>45782</v>
      </c>
      <c r="B156" t="s">
        <v>617</v>
      </c>
      <c r="C156" t="s">
        <v>24</v>
      </c>
      <c r="D156" t="s">
        <v>79</v>
      </c>
      <c r="E156" t="s">
        <v>36</v>
      </c>
      <c r="F156" t="s">
        <v>22</v>
      </c>
      <c r="G156">
        <v>34</v>
      </c>
      <c r="H156">
        <v>55000</v>
      </c>
      <c r="I156">
        <v>1870000</v>
      </c>
    </row>
    <row r="157" spans="1:9" x14ac:dyDescent="0.3">
      <c r="A157" s="1">
        <v>45666</v>
      </c>
      <c r="B157" t="s">
        <v>704</v>
      </c>
      <c r="C157" t="s">
        <v>10</v>
      </c>
      <c r="D157" t="s">
        <v>93</v>
      </c>
      <c r="E157" t="s">
        <v>41</v>
      </c>
      <c r="F157" t="s">
        <v>33</v>
      </c>
      <c r="G157">
        <v>34</v>
      </c>
      <c r="H157">
        <v>75000</v>
      </c>
      <c r="I157">
        <v>2550000</v>
      </c>
    </row>
    <row r="158" spans="1:9" x14ac:dyDescent="0.3">
      <c r="A158" s="1">
        <v>45952</v>
      </c>
      <c r="B158" t="s">
        <v>822</v>
      </c>
      <c r="C158" t="s">
        <v>15</v>
      </c>
      <c r="D158" t="s">
        <v>95</v>
      </c>
      <c r="E158" t="s">
        <v>26</v>
      </c>
      <c r="F158" t="s">
        <v>13</v>
      </c>
      <c r="G158">
        <v>34</v>
      </c>
      <c r="H158">
        <v>120000</v>
      </c>
      <c r="I158">
        <v>4080000</v>
      </c>
    </row>
    <row r="159" spans="1:9" x14ac:dyDescent="0.3">
      <c r="A159" s="1">
        <v>46000</v>
      </c>
      <c r="B159" t="s">
        <v>1099</v>
      </c>
      <c r="C159" t="s">
        <v>53</v>
      </c>
      <c r="D159" t="s">
        <v>201</v>
      </c>
      <c r="E159" t="s">
        <v>21</v>
      </c>
      <c r="F159" t="s">
        <v>33</v>
      </c>
      <c r="G159">
        <v>34</v>
      </c>
      <c r="H159">
        <v>65000</v>
      </c>
      <c r="I159">
        <v>2210000</v>
      </c>
    </row>
    <row r="160" spans="1:9" x14ac:dyDescent="0.3">
      <c r="A160" s="1">
        <v>45891</v>
      </c>
      <c r="B160" t="s">
        <v>149</v>
      </c>
      <c r="C160" t="s">
        <v>10</v>
      </c>
      <c r="D160" t="s">
        <v>91</v>
      </c>
      <c r="E160" t="s">
        <v>17</v>
      </c>
      <c r="F160" t="s">
        <v>29</v>
      </c>
      <c r="G160">
        <v>35</v>
      </c>
      <c r="H160">
        <v>75000</v>
      </c>
      <c r="I160">
        <v>2625000</v>
      </c>
    </row>
    <row r="161" spans="1:9" x14ac:dyDescent="0.3">
      <c r="A161" s="1">
        <v>45736</v>
      </c>
      <c r="B161" t="s">
        <v>272</v>
      </c>
      <c r="C161" t="s">
        <v>24</v>
      </c>
      <c r="D161" t="s">
        <v>47</v>
      </c>
      <c r="E161" t="s">
        <v>41</v>
      </c>
      <c r="F161" t="s">
        <v>33</v>
      </c>
      <c r="G161">
        <v>35</v>
      </c>
      <c r="H161">
        <v>55000</v>
      </c>
      <c r="I161">
        <v>1925000</v>
      </c>
    </row>
    <row r="162" spans="1:9" x14ac:dyDescent="0.3">
      <c r="A162" s="1">
        <v>45916</v>
      </c>
      <c r="B162" t="s">
        <v>344</v>
      </c>
      <c r="C162" t="s">
        <v>53</v>
      </c>
      <c r="D162" t="s">
        <v>136</v>
      </c>
      <c r="E162" t="s">
        <v>36</v>
      </c>
      <c r="F162" t="s">
        <v>33</v>
      </c>
      <c r="G162">
        <v>35</v>
      </c>
      <c r="H162">
        <v>65000</v>
      </c>
      <c r="I162">
        <v>2275000</v>
      </c>
    </row>
    <row r="163" spans="1:9" x14ac:dyDescent="0.3">
      <c r="A163" s="1">
        <v>45850</v>
      </c>
      <c r="B163" t="s">
        <v>815</v>
      </c>
      <c r="C163" t="s">
        <v>15</v>
      </c>
      <c r="D163" t="s">
        <v>51</v>
      </c>
      <c r="E163" t="s">
        <v>36</v>
      </c>
      <c r="F163" t="s">
        <v>18</v>
      </c>
      <c r="G163">
        <v>35</v>
      </c>
      <c r="H163">
        <v>120000</v>
      </c>
      <c r="I163">
        <v>4200000</v>
      </c>
    </row>
    <row r="164" spans="1:9" x14ac:dyDescent="0.3">
      <c r="A164" s="1">
        <v>45860</v>
      </c>
      <c r="B164" t="s">
        <v>838</v>
      </c>
      <c r="C164" t="s">
        <v>10</v>
      </c>
      <c r="D164" t="s">
        <v>110</v>
      </c>
      <c r="E164" t="s">
        <v>32</v>
      </c>
      <c r="F164" t="s">
        <v>33</v>
      </c>
      <c r="G164">
        <v>35</v>
      </c>
      <c r="H164">
        <v>75000</v>
      </c>
      <c r="I164">
        <v>2625000</v>
      </c>
    </row>
    <row r="165" spans="1:9" x14ac:dyDescent="0.3">
      <c r="A165" s="1">
        <v>45723</v>
      </c>
      <c r="B165" t="s">
        <v>783</v>
      </c>
      <c r="C165" t="s">
        <v>15</v>
      </c>
      <c r="D165" t="s">
        <v>121</v>
      </c>
      <c r="E165" t="s">
        <v>32</v>
      </c>
      <c r="F165" t="s">
        <v>33</v>
      </c>
      <c r="G165">
        <v>36</v>
      </c>
      <c r="H165">
        <v>120000</v>
      </c>
      <c r="I165">
        <v>4320000</v>
      </c>
    </row>
    <row r="166" spans="1:9" x14ac:dyDescent="0.3">
      <c r="A166" s="1">
        <v>45926</v>
      </c>
      <c r="B166" t="s">
        <v>854</v>
      </c>
      <c r="C166" t="s">
        <v>24</v>
      </c>
      <c r="D166" t="s">
        <v>269</v>
      </c>
      <c r="E166" t="s">
        <v>32</v>
      </c>
      <c r="F166" t="s">
        <v>29</v>
      </c>
      <c r="G166">
        <v>36</v>
      </c>
      <c r="H166">
        <v>55000</v>
      </c>
      <c r="I166">
        <v>1980000</v>
      </c>
    </row>
    <row r="167" spans="1:9" x14ac:dyDescent="0.3">
      <c r="A167" s="1">
        <v>45671</v>
      </c>
      <c r="B167" t="s">
        <v>1016</v>
      </c>
      <c r="C167" t="s">
        <v>10</v>
      </c>
      <c r="D167" t="s">
        <v>47</v>
      </c>
      <c r="E167" t="s">
        <v>41</v>
      </c>
      <c r="F167" t="s">
        <v>29</v>
      </c>
      <c r="G167">
        <v>36</v>
      </c>
      <c r="H167">
        <v>75000</v>
      </c>
      <c r="I167">
        <v>2700000</v>
      </c>
    </row>
    <row r="168" spans="1:9" x14ac:dyDescent="0.3">
      <c r="A168" s="1">
        <v>45935</v>
      </c>
      <c r="B168" t="s">
        <v>1075</v>
      </c>
      <c r="C168" t="s">
        <v>15</v>
      </c>
      <c r="D168" t="s">
        <v>16</v>
      </c>
      <c r="E168" t="s">
        <v>17</v>
      </c>
      <c r="F168" t="s">
        <v>33</v>
      </c>
      <c r="G168">
        <v>36</v>
      </c>
      <c r="H168">
        <v>120000</v>
      </c>
      <c r="I168">
        <v>4320000</v>
      </c>
    </row>
    <row r="169" spans="1:9" x14ac:dyDescent="0.3">
      <c r="A169" s="1">
        <v>45931</v>
      </c>
      <c r="B169" t="s">
        <v>44</v>
      </c>
      <c r="C169" t="s">
        <v>24</v>
      </c>
      <c r="D169" t="s">
        <v>45</v>
      </c>
      <c r="E169" t="s">
        <v>12</v>
      </c>
      <c r="F169" t="s">
        <v>18</v>
      </c>
      <c r="G169">
        <v>37</v>
      </c>
      <c r="H169">
        <v>55000</v>
      </c>
      <c r="I169">
        <v>2035000</v>
      </c>
    </row>
    <row r="170" spans="1:9" x14ac:dyDescent="0.3">
      <c r="A170" s="1">
        <v>45902</v>
      </c>
      <c r="B170" t="s">
        <v>745</v>
      </c>
      <c r="C170" t="s">
        <v>53</v>
      </c>
      <c r="D170" t="s">
        <v>86</v>
      </c>
      <c r="E170" t="s">
        <v>12</v>
      </c>
      <c r="F170" t="s">
        <v>33</v>
      </c>
      <c r="G170">
        <v>37</v>
      </c>
      <c r="H170">
        <v>65000</v>
      </c>
      <c r="I170">
        <v>2405000</v>
      </c>
    </row>
    <row r="171" spans="1:9" x14ac:dyDescent="0.3">
      <c r="A171" s="1">
        <v>45958</v>
      </c>
      <c r="B171" t="s">
        <v>780</v>
      </c>
      <c r="C171" t="s">
        <v>10</v>
      </c>
      <c r="D171" t="s">
        <v>121</v>
      </c>
      <c r="E171" t="s">
        <v>32</v>
      </c>
      <c r="F171" t="s">
        <v>33</v>
      </c>
      <c r="G171">
        <v>37</v>
      </c>
      <c r="H171">
        <v>75000</v>
      </c>
      <c r="I171">
        <v>2775000</v>
      </c>
    </row>
    <row r="172" spans="1:9" x14ac:dyDescent="0.3">
      <c r="A172" s="1">
        <v>45809</v>
      </c>
      <c r="B172" t="s">
        <v>903</v>
      </c>
      <c r="C172" t="s">
        <v>53</v>
      </c>
      <c r="D172" t="s">
        <v>54</v>
      </c>
      <c r="E172" t="s">
        <v>21</v>
      </c>
      <c r="F172" t="s">
        <v>22</v>
      </c>
      <c r="G172">
        <v>37</v>
      </c>
      <c r="H172">
        <v>65000</v>
      </c>
      <c r="I172">
        <v>2405000</v>
      </c>
    </row>
    <row r="173" spans="1:9" x14ac:dyDescent="0.3">
      <c r="A173" s="1">
        <v>45857</v>
      </c>
      <c r="B173" t="s">
        <v>1137</v>
      </c>
      <c r="C173" t="s">
        <v>15</v>
      </c>
      <c r="D173" t="s">
        <v>56</v>
      </c>
      <c r="E173" t="s">
        <v>57</v>
      </c>
      <c r="F173" t="s">
        <v>13</v>
      </c>
      <c r="G173">
        <v>37</v>
      </c>
      <c r="H173">
        <v>120000</v>
      </c>
      <c r="I173">
        <v>4440000</v>
      </c>
    </row>
    <row r="174" spans="1:9" x14ac:dyDescent="0.3">
      <c r="A174" s="1">
        <v>45711</v>
      </c>
      <c r="B174" t="s">
        <v>1214</v>
      </c>
      <c r="C174" t="s">
        <v>10</v>
      </c>
      <c r="D174" t="s">
        <v>89</v>
      </c>
      <c r="E174" t="s">
        <v>12</v>
      </c>
      <c r="F174" t="s">
        <v>18</v>
      </c>
      <c r="G174">
        <v>37</v>
      </c>
      <c r="H174">
        <v>75000</v>
      </c>
      <c r="I174">
        <v>2775000</v>
      </c>
    </row>
    <row r="175" spans="1:9" x14ac:dyDescent="0.3">
      <c r="A175" s="1">
        <v>45680</v>
      </c>
      <c r="B175" t="s">
        <v>351</v>
      </c>
      <c r="C175" t="s">
        <v>15</v>
      </c>
      <c r="D175" t="s">
        <v>47</v>
      </c>
      <c r="E175" t="s">
        <v>41</v>
      </c>
      <c r="F175" t="s">
        <v>29</v>
      </c>
      <c r="G175">
        <v>38</v>
      </c>
      <c r="H175">
        <v>120000</v>
      </c>
      <c r="I175">
        <v>4560000</v>
      </c>
    </row>
    <row r="176" spans="1:9" x14ac:dyDescent="0.3">
      <c r="A176" s="1">
        <v>45848</v>
      </c>
      <c r="B176" t="s">
        <v>723</v>
      </c>
      <c r="C176" t="s">
        <v>10</v>
      </c>
      <c r="D176" t="s">
        <v>191</v>
      </c>
      <c r="E176" t="s">
        <v>57</v>
      </c>
      <c r="F176" t="s">
        <v>29</v>
      </c>
      <c r="G176">
        <v>38</v>
      </c>
      <c r="H176">
        <v>75000</v>
      </c>
      <c r="I176">
        <v>2850000</v>
      </c>
    </row>
    <row r="177" spans="1:9" x14ac:dyDescent="0.3">
      <c r="A177" s="1">
        <v>45819</v>
      </c>
      <c r="B177" t="s">
        <v>878</v>
      </c>
      <c r="C177" t="s">
        <v>24</v>
      </c>
      <c r="D177" t="s">
        <v>119</v>
      </c>
      <c r="E177" t="s">
        <v>36</v>
      </c>
      <c r="F177" t="s">
        <v>22</v>
      </c>
      <c r="G177">
        <v>38</v>
      </c>
      <c r="H177">
        <v>55000</v>
      </c>
      <c r="I177">
        <v>2090000</v>
      </c>
    </row>
    <row r="178" spans="1:9" x14ac:dyDescent="0.3">
      <c r="A178" s="1">
        <v>45938</v>
      </c>
      <c r="B178" t="s">
        <v>381</v>
      </c>
      <c r="C178" t="s">
        <v>15</v>
      </c>
      <c r="D178" t="s">
        <v>28</v>
      </c>
      <c r="E178" t="s">
        <v>17</v>
      </c>
      <c r="F178" t="s">
        <v>13</v>
      </c>
      <c r="G178">
        <v>39</v>
      </c>
      <c r="H178">
        <v>120000</v>
      </c>
      <c r="I178">
        <v>4680000</v>
      </c>
    </row>
    <row r="179" spans="1:9" x14ac:dyDescent="0.3">
      <c r="A179" s="1">
        <v>45925</v>
      </c>
      <c r="B179" t="s">
        <v>615</v>
      </c>
      <c r="C179" t="s">
        <v>24</v>
      </c>
      <c r="D179" t="s">
        <v>89</v>
      </c>
      <c r="E179" t="s">
        <v>12</v>
      </c>
      <c r="F179" t="s">
        <v>13</v>
      </c>
      <c r="G179">
        <v>39</v>
      </c>
      <c r="H179">
        <v>55000</v>
      </c>
      <c r="I179">
        <v>2145000</v>
      </c>
    </row>
    <row r="180" spans="1:9" x14ac:dyDescent="0.3">
      <c r="A180" s="1">
        <v>45851</v>
      </c>
      <c r="B180" t="s">
        <v>963</v>
      </c>
      <c r="C180" t="s">
        <v>53</v>
      </c>
      <c r="D180" t="s">
        <v>83</v>
      </c>
      <c r="E180" t="s">
        <v>21</v>
      </c>
      <c r="F180" t="s">
        <v>29</v>
      </c>
      <c r="G180">
        <v>39</v>
      </c>
      <c r="H180">
        <v>65000</v>
      </c>
      <c r="I180">
        <v>2535000</v>
      </c>
    </row>
    <row r="181" spans="1:9" x14ac:dyDescent="0.3">
      <c r="A181" s="1">
        <v>45851</v>
      </c>
      <c r="B181" t="s">
        <v>1262</v>
      </c>
      <c r="C181" t="s">
        <v>10</v>
      </c>
      <c r="D181" t="s">
        <v>79</v>
      </c>
      <c r="E181" t="s">
        <v>36</v>
      </c>
      <c r="F181" t="s">
        <v>13</v>
      </c>
      <c r="G181">
        <v>39</v>
      </c>
      <c r="H181">
        <v>75000</v>
      </c>
      <c r="I181">
        <v>2925000</v>
      </c>
    </row>
    <row r="182" spans="1:9" x14ac:dyDescent="0.3">
      <c r="A182" s="1">
        <v>45854</v>
      </c>
      <c r="B182" t="s">
        <v>329</v>
      </c>
      <c r="C182" t="s">
        <v>53</v>
      </c>
      <c r="D182" t="s">
        <v>133</v>
      </c>
      <c r="E182" t="s">
        <v>17</v>
      </c>
      <c r="F182" t="s">
        <v>13</v>
      </c>
      <c r="G182">
        <v>40</v>
      </c>
      <c r="H182">
        <v>65000</v>
      </c>
      <c r="I182">
        <v>2600000</v>
      </c>
    </row>
    <row r="183" spans="1:9" x14ac:dyDescent="0.3">
      <c r="A183" s="1">
        <v>45958</v>
      </c>
      <c r="B183" t="s">
        <v>478</v>
      </c>
      <c r="C183" t="s">
        <v>15</v>
      </c>
      <c r="D183" t="s">
        <v>129</v>
      </c>
      <c r="E183" t="s">
        <v>57</v>
      </c>
      <c r="F183" t="s">
        <v>33</v>
      </c>
      <c r="G183">
        <v>40</v>
      </c>
      <c r="H183">
        <v>120000</v>
      </c>
      <c r="I183">
        <v>4800000</v>
      </c>
    </row>
    <row r="184" spans="1:9" x14ac:dyDescent="0.3">
      <c r="A184" s="1">
        <v>45993</v>
      </c>
      <c r="B184" t="s">
        <v>573</v>
      </c>
      <c r="C184" t="s">
        <v>15</v>
      </c>
      <c r="D184" t="s">
        <v>59</v>
      </c>
      <c r="E184" t="s">
        <v>41</v>
      </c>
      <c r="F184" t="s">
        <v>33</v>
      </c>
      <c r="G184">
        <v>40</v>
      </c>
      <c r="H184">
        <v>120000</v>
      </c>
      <c r="I184">
        <v>4800000</v>
      </c>
    </row>
    <row r="185" spans="1:9" x14ac:dyDescent="0.3">
      <c r="A185" s="1">
        <v>45932</v>
      </c>
      <c r="B185" t="s">
        <v>600</v>
      </c>
      <c r="C185" t="s">
        <v>10</v>
      </c>
      <c r="D185" t="s">
        <v>93</v>
      </c>
      <c r="E185" t="s">
        <v>41</v>
      </c>
      <c r="F185" t="s">
        <v>22</v>
      </c>
      <c r="G185">
        <v>40</v>
      </c>
      <c r="H185">
        <v>75000</v>
      </c>
      <c r="I185">
        <v>3000000</v>
      </c>
    </row>
    <row r="186" spans="1:9" x14ac:dyDescent="0.3">
      <c r="A186" s="1">
        <v>45961</v>
      </c>
      <c r="B186" t="s">
        <v>756</v>
      </c>
      <c r="C186" t="s">
        <v>15</v>
      </c>
      <c r="D186" t="s">
        <v>63</v>
      </c>
      <c r="E186" t="s">
        <v>32</v>
      </c>
      <c r="F186" t="s">
        <v>22</v>
      </c>
      <c r="G186">
        <v>40</v>
      </c>
      <c r="H186">
        <v>120000</v>
      </c>
      <c r="I186">
        <v>4800000</v>
      </c>
    </row>
    <row r="187" spans="1:9" x14ac:dyDescent="0.3">
      <c r="A187" s="1">
        <v>45982</v>
      </c>
      <c r="B187" t="s">
        <v>971</v>
      </c>
      <c r="C187" t="s">
        <v>15</v>
      </c>
      <c r="D187" t="s">
        <v>116</v>
      </c>
      <c r="E187" t="s">
        <v>57</v>
      </c>
      <c r="F187" t="s">
        <v>18</v>
      </c>
      <c r="G187">
        <v>40</v>
      </c>
      <c r="H187">
        <v>120000</v>
      </c>
      <c r="I187">
        <v>4800000</v>
      </c>
    </row>
    <row r="188" spans="1:9" x14ac:dyDescent="0.3">
      <c r="A188" s="1">
        <v>45737</v>
      </c>
      <c r="B188" t="s">
        <v>353</v>
      </c>
      <c r="C188" t="s">
        <v>15</v>
      </c>
      <c r="D188" t="s">
        <v>31</v>
      </c>
      <c r="E188" t="s">
        <v>32</v>
      </c>
      <c r="F188" t="s">
        <v>29</v>
      </c>
      <c r="G188">
        <v>41</v>
      </c>
      <c r="H188">
        <v>120000</v>
      </c>
      <c r="I188">
        <v>4920000</v>
      </c>
    </row>
    <row r="189" spans="1:9" x14ac:dyDescent="0.3">
      <c r="A189" s="1">
        <v>45690</v>
      </c>
      <c r="B189" t="s">
        <v>790</v>
      </c>
      <c r="C189" t="s">
        <v>15</v>
      </c>
      <c r="D189" t="s">
        <v>119</v>
      </c>
      <c r="E189" t="s">
        <v>36</v>
      </c>
      <c r="F189" t="s">
        <v>13</v>
      </c>
      <c r="G189">
        <v>41</v>
      </c>
      <c r="H189">
        <v>120000</v>
      </c>
      <c r="I189">
        <v>4920000</v>
      </c>
    </row>
    <row r="190" spans="1:9" x14ac:dyDescent="0.3">
      <c r="A190" s="1">
        <v>45796</v>
      </c>
      <c r="B190" t="s">
        <v>947</v>
      </c>
      <c r="C190" t="s">
        <v>24</v>
      </c>
      <c r="D190" t="s">
        <v>63</v>
      </c>
      <c r="E190" t="s">
        <v>32</v>
      </c>
      <c r="F190" t="s">
        <v>22</v>
      </c>
      <c r="G190">
        <v>41</v>
      </c>
      <c r="H190">
        <v>55000</v>
      </c>
      <c r="I190">
        <v>2255000</v>
      </c>
    </row>
    <row r="191" spans="1:9" x14ac:dyDescent="0.3">
      <c r="A191" s="1">
        <v>46013</v>
      </c>
      <c r="B191" t="s">
        <v>1041</v>
      </c>
      <c r="C191" t="s">
        <v>53</v>
      </c>
      <c r="D191" t="s">
        <v>61</v>
      </c>
      <c r="E191" t="s">
        <v>17</v>
      </c>
      <c r="F191" t="s">
        <v>22</v>
      </c>
      <c r="G191">
        <v>41</v>
      </c>
      <c r="H191">
        <v>65000</v>
      </c>
      <c r="I191">
        <v>2665000</v>
      </c>
    </row>
    <row r="192" spans="1:9" x14ac:dyDescent="0.3">
      <c r="A192" s="1">
        <v>45794</v>
      </c>
      <c r="B192" t="s">
        <v>1190</v>
      </c>
      <c r="C192" t="s">
        <v>15</v>
      </c>
      <c r="D192" t="s">
        <v>104</v>
      </c>
      <c r="E192" t="s">
        <v>26</v>
      </c>
      <c r="F192" t="s">
        <v>22</v>
      </c>
      <c r="G192">
        <v>41</v>
      </c>
      <c r="H192">
        <v>120000</v>
      </c>
      <c r="I192">
        <v>4920000</v>
      </c>
    </row>
    <row r="193" spans="1:9" x14ac:dyDescent="0.3">
      <c r="A193" s="1">
        <v>45716</v>
      </c>
      <c r="B193" t="s">
        <v>140</v>
      </c>
      <c r="C193" t="s">
        <v>10</v>
      </c>
      <c r="D193" t="s">
        <v>141</v>
      </c>
      <c r="E193" t="s">
        <v>21</v>
      </c>
      <c r="F193" t="s">
        <v>33</v>
      </c>
      <c r="G193">
        <v>42</v>
      </c>
      <c r="H193">
        <v>75000</v>
      </c>
      <c r="I193">
        <v>3150000</v>
      </c>
    </row>
    <row r="194" spans="1:9" x14ac:dyDescent="0.3">
      <c r="A194" s="1">
        <v>45672</v>
      </c>
      <c r="B194" t="s">
        <v>803</v>
      </c>
      <c r="C194" t="s">
        <v>15</v>
      </c>
      <c r="D194" t="s">
        <v>119</v>
      </c>
      <c r="E194" t="s">
        <v>36</v>
      </c>
      <c r="F194" t="s">
        <v>29</v>
      </c>
      <c r="G194">
        <v>42</v>
      </c>
      <c r="H194">
        <v>120000</v>
      </c>
      <c r="I194">
        <v>5040000</v>
      </c>
    </row>
    <row r="195" spans="1:9" x14ac:dyDescent="0.3">
      <c r="A195" s="1">
        <v>45762</v>
      </c>
      <c r="B195" t="s">
        <v>824</v>
      </c>
      <c r="C195" t="s">
        <v>53</v>
      </c>
      <c r="D195" t="s">
        <v>119</v>
      </c>
      <c r="E195" t="s">
        <v>36</v>
      </c>
      <c r="F195" t="s">
        <v>29</v>
      </c>
      <c r="G195">
        <v>42</v>
      </c>
      <c r="H195">
        <v>65000</v>
      </c>
      <c r="I195">
        <v>2730000</v>
      </c>
    </row>
    <row r="196" spans="1:9" x14ac:dyDescent="0.3">
      <c r="A196" s="1">
        <v>45830</v>
      </c>
      <c r="B196" t="s">
        <v>860</v>
      </c>
      <c r="C196" t="s">
        <v>24</v>
      </c>
      <c r="D196" t="s">
        <v>45</v>
      </c>
      <c r="E196" t="s">
        <v>12</v>
      </c>
      <c r="F196" t="s">
        <v>22</v>
      </c>
      <c r="G196">
        <v>42</v>
      </c>
      <c r="H196">
        <v>55000</v>
      </c>
      <c r="I196">
        <v>2310000</v>
      </c>
    </row>
    <row r="197" spans="1:9" x14ac:dyDescent="0.3">
      <c r="A197" s="1">
        <v>45979</v>
      </c>
      <c r="B197" t="s">
        <v>922</v>
      </c>
      <c r="C197" t="s">
        <v>24</v>
      </c>
      <c r="D197" t="s">
        <v>83</v>
      </c>
      <c r="E197" t="s">
        <v>21</v>
      </c>
      <c r="F197" t="s">
        <v>18</v>
      </c>
      <c r="G197">
        <v>42</v>
      </c>
      <c r="H197">
        <v>55000</v>
      </c>
      <c r="I197">
        <v>2310000</v>
      </c>
    </row>
    <row r="198" spans="1:9" x14ac:dyDescent="0.3">
      <c r="A198" s="1">
        <v>45663</v>
      </c>
      <c r="B198" t="s">
        <v>1112</v>
      </c>
      <c r="C198" t="s">
        <v>53</v>
      </c>
      <c r="D198" t="s">
        <v>68</v>
      </c>
      <c r="E198" t="s">
        <v>21</v>
      </c>
      <c r="F198" t="s">
        <v>22</v>
      </c>
      <c r="G198">
        <v>42</v>
      </c>
      <c r="H198">
        <v>65000</v>
      </c>
      <c r="I198">
        <v>2730000</v>
      </c>
    </row>
    <row r="199" spans="1:9" x14ac:dyDescent="0.3">
      <c r="A199" s="1">
        <v>45682</v>
      </c>
      <c r="B199" t="s">
        <v>1177</v>
      </c>
      <c r="C199" t="s">
        <v>10</v>
      </c>
      <c r="D199" t="s">
        <v>305</v>
      </c>
      <c r="E199" t="s">
        <v>32</v>
      </c>
      <c r="F199" t="s">
        <v>29</v>
      </c>
      <c r="G199">
        <v>42</v>
      </c>
      <c r="H199">
        <v>75000</v>
      </c>
      <c r="I199">
        <v>3150000</v>
      </c>
    </row>
    <row r="200" spans="1:9" x14ac:dyDescent="0.3">
      <c r="A200" s="1">
        <v>45663</v>
      </c>
      <c r="B200" t="s">
        <v>404</v>
      </c>
      <c r="C200" t="s">
        <v>53</v>
      </c>
      <c r="D200" t="s">
        <v>56</v>
      </c>
      <c r="E200" t="s">
        <v>57</v>
      </c>
      <c r="F200" t="s">
        <v>13</v>
      </c>
      <c r="G200">
        <v>43</v>
      </c>
      <c r="H200">
        <v>65000</v>
      </c>
      <c r="I200">
        <v>2795000</v>
      </c>
    </row>
    <row r="201" spans="1:9" x14ac:dyDescent="0.3">
      <c r="A201" s="1">
        <v>45793</v>
      </c>
      <c r="B201" t="s">
        <v>526</v>
      </c>
      <c r="C201" t="s">
        <v>15</v>
      </c>
      <c r="D201" t="s">
        <v>31</v>
      </c>
      <c r="E201" t="s">
        <v>32</v>
      </c>
      <c r="F201" t="s">
        <v>13</v>
      </c>
      <c r="G201">
        <v>43</v>
      </c>
      <c r="H201">
        <v>120000</v>
      </c>
      <c r="I201">
        <v>5160000</v>
      </c>
    </row>
    <row r="202" spans="1:9" x14ac:dyDescent="0.3">
      <c r="A202" s="1">
        <v>45999</v>
      </c>
      <c r="B202" t="s">
        <v>588</v>
      </c>
      <c r="C202" t="s">
        <v>24</v>
      </c>
      <c r="D202" t="s">
        <v>251</v>
      </c>
      <c r="E202" t="s">
        <v>12</v>
      </c>
      <c r="F202" t="s">
        <v>22</v>
      </c>
      <c r="G202">
        <v>43</v>
      </c>
      <c r="H202">
        <v>55000</v>
      </c>
      <c r="I202">
        <v>2365000</v>
      </c>
    </row>
    <row r="203" spans="1:9" x14ac:dyDescent="0.3">
      <c r="A203" s="1">
        <v>45672</v>
      </c>
      <c r="B203" t="s">
        <v>630</v>
      </c>
      <c r="C203" t="s">
        <v>15</v>
      </c>
      <c r="D203" t="s">
        <v>59</v>
      </c>
      <c r="E203" t="s">
        <v>41</v>
      </c>
      <c r="F203" t="s">
        <v>29</v>
      </c>
      <c r="G203">
        <v>43</v>
      </c>
      <c r="H203">
        <v>120000</v>
      </c>
      <c r="I203">
        <v>5160000</v>
      </c>
    </row>
    <row r="204" spans="1:9" x14ac:dyDescent="0.3">
      <c r="A204" s="1">
        <v>45857</v>
      </c>
      <c r="B204" t="s">
        <v>685</v>
      </c>
      <c r="C204" t="s">
        <v>15</v>
      </c>
      <c r="D204" t="s">
        <v>11</v>
      </c>
      <c r="E204" t="s">
        <v>12</v>
      </c>
      <c r="F204" t="s">
        <v>22</v>
      </c>
      <c r="G204">
        <v>43</v>
      </c>
      <c r="H204">
        <v>120000</v>
      </c>
      <c r="I204">
        <v>5160000</v>
      </c>
    </row>
    <row r="205" spans="1:9" x14ac:dyDescent="0.3">
      <c r="A205" s="1">
        <v>45720</v>
      </c>
      <c r="B205" t="s">
        <v>773</v>
      </c>
      <c r="C205" t="s">
        <v>24</v>
      </c>
      <c r="D205" t="s">
        <v>35</v>
      </c>
      <c r="E205" t="s">
        <v>36</v>
      </c>
      <c r="F205" t="s">
        <v>13</v>
      </c>
      <c r="G205">
        <v>43</v>
      </c>
      <c r="H205">
        <v>55000</v>
      </c>
      <c r="I205">
        <v>2365000</v>
      </c>
    </row>
    <row r="206" spans="1:9" x14ac:dyDescent="0.3">
      <c r="A206" s="1">
        <v>45669</v>
      </c>
      <c r="B206" t="s">
        <v>993</v>
      </c>
      <c r="C206" t="s">
        <v>53</v>
      </c>
      <c r="D206" t="s">
        <v>101</v>
      </c>
      <c r="E206" t="s">
        <v>36</v>
      </c>
      <c r="F206" t="s">
        <v>29</v>
      </c>
      <c r="G206">
        <v>43</v>
      </c>
      <c r="H206">
        <v>65000</v>
      </c>
      <c r="I206">
        <v>2795000</v>
      </c>
    </row>
    <row r="207" spans="1:9" x14ac:dyDescent="0.3">
      <c r="A207" s="1">
        <v>45906</v>
      </c>
      <c r="B207" t="s">
        <v>1015</v>
      </c>
      <c r="C207" t="s">
        <v>53</v>
      </c>
      <c r="D207" t="s">
        <v>35</v>
      </c>
      <c r="E207" t="s">
        <v>36</v>
      </c>
      <c r="F207" t="s">
        <v>22</v>
      </c>
      <c r="G207">
        <v>43</v>
      </c>
      <c r="H207">
        <v>65000</v>
      </c>
      <c r="I207">
        <v>2795000</v>
      </c>
    </row>
    <row r="208" spans="1:9" x14ac:dyDescent="0.3">
      <c r="A208" s="1">
        <v>45899</v>
      </c>
      <c r="B208" t="s">
        <v>1038</v>
      </c>
      <c r="C208" t="s">
        <v>10</v>
      </c>
      <c r="D208" t="s">
        <v>136</v>
      </c>
      <c r="E208" t="s">
        <v>36</v>
      </c>
      <c r="F208" t="s">
        <v>22</v>
      </c>
      <c r="G208">
        <v>43</v>
      </c>
      <c r="H208">
        <v>75000</v>
      </c>
      <c r="I208">
        <v>3225000</v>
      </c>
    </row>
    <row r="209" spans="1:9" x14ac:dyDescent="0.3">
      <c r="A209" s="1">
        <v>45863</v>
      </c>
      <c r="B209" t="s">
        <v>1266</v>
      </c>
      <c r="C209" t="s">
        <v>15</v>
      </c>
      <c r="D209" t="s">
        <v>49</v>
      </c>
      <c r="E209" t="s">
        <v>26</v>
      </c>
      <c r="F209" t="s">
        <v>13</v>
      </c>
      <c r="G209">
        <v>43</v>
      </c>
      <c r="H209">
        <v>120000</v>
      </c>
      <c r="I209">
        <v>5160000</v>
      </c>
    </row>
    <row r="210" spans="1:9" x14ac:dyDescent="0.3">
      <c r="A210" s="1">
        <v>45747</v>
      </c>
      <c r="B210" t="s">
        <v>548</v>
      </c>
      <c r="C210" t="s">
        <v>15</v>
      </c>
      <c r="D210" t="s">
        <v>110</v>
      </c>
      <c r="E210" t="s">
        <v>32</v>
      </c>
      <c r="F210" t="s">
        <v>29</v>
      </c>
      <c r="G210">
        <v>44</v>
      </c>
      <c r="H210">
        <v>120000</v>
      </c>
      <c r="I210">
        <v>5280000</v>
      </c>
    </row>
    <row r="211" spans="1:9" x14ac:dyDescent="0.3">
      <c r="A211" s="1">
        <v>45928</v>
      </c>
      <c r="B211" t="s">
        <v>726</v>
      </c>
      <c r="C211" t="s">
        <v>15</v>
      </c>
      <c r="D211" t="s">
        <v>20</v>
      </c>
      <c r="E211" t="s">
        <v>21</v>
      </c>
      <c r="F211" t="s">
        <v>18</v>
      </c>
      <c r="G211">
        <v>44</v>
      </c>
      <c r="H211">
        <v>120000</v>
      </c>
      <c r="I211">
        <v>5280000</v>
      </c>
    </row>
    <row r="212" spans="1:9" x14ac:dyDescent="0.3">
      <c r="A212" s="1">
        <v>45714</v>
      </c>
      <c r="B212" t="s">
        <v>938</v>
      </c>
      <c r="C212" t="s">
        <v>24</v>
      </c>
      <c r="D212" t="s">
        <v>136</v>
      </c>
      <c r="E212" t="s">
        <v>36</v>
      </c>
      <c r="F212" t="s">
        <v>18</v>
      </c>
      <c r="G212">
        <v>44</v>
      </c>
      <c r="H212">
        <v>55000</v>
      </c>
      <c r="I212">
        <v>2420000</v>
      </c>
    </row>
    <row r="213" spans="1:9" x14ac:dyDescent="0.3">
      <c r="A213" s="1">
        <v>45955</v>
      </c>
      <c r="B213" t="s">
        <v>1229</v>
      </c>
      <c r="C213" t="s">
        <v>24</v>
      </c>
      <c r="D213" t="s">
        <v>201</v>
      </c>
      <c r="E213" t="s">
        <v>21</v>
      </c>
      <c r="F213" t="s">
        <v>29</v>
      </c>
      <c r="G213">
        <v>44</v>
      </c>
      <c r="H213">
        <v>55000</v>
      </c>
      <c r="I213">
        <v>2420000</v>
      </c>
    </row>
    <row r="214" spans="1:9" x14ac:dyDescent="0.3">
      <c r="A214" s="1">
        <v>45735</v>
      </c>
      <c r="B214" t="s">
        <v>693</v>
      </c>
      <c r="C214" t="s">
        <v>24</v>
      </c>
      <c r="D214" t="s">
        <v>152</v>
      </c>
      <c r="E214" t="s">
        <v>36</v>
      </c>
      <c r="F214" t="s">
        <v>22</v>
      </c>
      <c r="G214">
        <v>45</v>
      </c>
      <c r="H214">
        <v>55000</v>
      </c>
      <c r="I214">
        <v>2475000</v>
      </c>
    </row>
    <row r="215" spans="1:9" x14ac:dyDescent="0.3">
      <c r="A215" s="1">
        <v>45819</v>
      </c>
      <c r="B215" t="s">
        <v>734</v>
      </c>
      <c r="C215" t="s">
        <v>15</v>
      </c>
      <c r="D215" t="s">
        <v>83</v>
      </c>
      <c r="E215" t="s">
        <v>21</v>
      </c>
      <c r="F215" t="s">
        <v>13</v>
      </c>
      <c r="G215">
        <v>45</v>
      </c>
      <c r="H215">
        <v>120000</v>
      </c>
      <c r="I215">
        <v>5400000</v>
      </c>
    </row>
    <row r="216" spans="1:9" x14ac:dyDescent="0.3">
      <c r="A216" s="1">
        <v>45748</v>
      </c>
      <c r="B216" t="s">
        <v>879</v>
      </c>
      <c r="C216" t="s">
        <v>53</v>
      </c>
      <c r="D216" t="s">
        <v>129</v>
      </c>
      <c r="E216" t="s">
        <v>57</v>
      </c>
      <c r="F216" t="s">
        <v>29</v>
      </c>
      <c r="G216">
        <v>45</v>
      </c>
      <c r="H216">
        <v>65000</v>
      </c>
      <c r="I216">
        <v>2925000</v>
      </c>
    </row>
    <row r="217" spans="1:9" x14ac:dyDescent="0.3">
      <c r="A217" s="1">
        <v>45972</v>
      </c>
      <c r="B217" t="s">
        <v>300</v>
      </c>
      <c r="C217" t="s">
        <v>53</v>
      </c>
      <c r="D217" t="s">
        <v>56</v>
      </c>
      <c r="E217" t="s">
        <v>57</v>
      </c>
      <c r="F217" t="s">
        <v>18</v>
      </c>
      <c r="G217">
        <v>46</v>
      </c>
      <c r="H217">
        <v>65000</v>
      </c>
      <c r="I217">
        <v>2990000</v>
      </c>
    </row>
    <row r="218" spans="1:9" x14ac:dyDescent="0.3">
      <c r="A218" s="1">
        <v>45827</v>
      </c>
      <c r="B218" t="s">
        <v>358</v>
      </c>
      <c r="C218" t="s">
        <v>53</v>
      </c>
      <c r="D218" t="s">
        <v>110</v>
      </c>
      <c r="E218" t="s">
        <v>32</v>
      </c>
      <c r="F218" t="s">
        <v>33</v>
      </c>
      <c r="G218">
        <v>46</v>
      </c>
      <c r="H218">
        <v>65000</v>
      </c>
      <c r="I218">
        <v>2990000</v>
      </c>
    </row>
    <row r="219" spans="1:9" x14ac:dyDescent="0.3">
      <c r="A219" s="1">
        <v>46007</v>
      </c>
      <c r="B219" t="s">
        <v>384</v>
      </c>
      <c r="C219" t="s">
        <v>15</v>
      </c>
      <c r="D219" t="s">
        <v>201</v>
      </c>
      <c r="E219" t="s">
        <v>21</v>
      </c>
      <c r="F219" t="s">
        <v>18</v>
      </c>
      <c r="G219">
        <v>46</v>
      </c>
      <c r="H219">
        <v>120000</v>
      </c>
      <c r="I219">
        <v>5520000</v>
      </c>
    </row>
    <row r="220" spans="1:9" x14ac:dyDescent="0.3">
      <c r="A220" s="1">
        <v>45698</v>
      </c>
      <c r="B220" t="s">
        <v>805</v>
      </c>
      <c r="C220" t="s">
        <v>10</v>
      </c>
      <c r="D220" t="s">
        <v>73</v>
      </c>
      <c r="E220" t="s">
        <v>36</v>
      </c>
      <c r="F220" t="s">
        <v>33</v>
      </c>
      <c r="G220">
        <v>46</v>
      </c>
      <c r="H220">
        <v>75000</v>
      </c>
      <c r="I220">
        <v>3450000</v>
      </c>
    </row>
    <row r="221" spans="1:9" x14ac:dyDescent="0.3">
      <c r="A221" s="1">
        <v>45665</v>
      </c>
      <c r="B221" t="s">
        <v>1067</v>
      </c>
      <c r="C221" t="s">
        <v>15</v>
      </c>
      <c r="D221" t="s">
        <v>152</v>
      </c>
      <c r="E221" t="s">
        <v>36</v>
      </c>
      <c r="F221" t="s">
        <v>18</v>
      </c>
      <c r="G221">
        <v>46</v>
      </c>
      <c r="H221">
        <v>120000</v>
      </c>
      <c r="I221">
        <v>5520000</v>
      </c>
    </row>
    <row r="222" spans="1:9" x14ac:dyDescent="0.3">
      <c r="A222" s="1">
        <v>45693</v>
      </c>
      <c r="B222" t="s">
        <v>109</v>
      </c>
      <c r="C222" t="s">
        <v>10</v>
      </c>
      <c r="D222" t="s">
        <v>110</v>
      </c>
      <c r="E222" t="s">
        <v>32</v>
      </c>
      <c r="F222" t="s">
        <v>18</v>
      </c>
      <c r="G222">
        <v>47</v>
      </c>
      <c r="H222">
        <v>75000</v>
      </c>
      <c r="I222">
        <v>3525000</v>
      </c>
    </row>
    <row r="223" spans="1:9" x14ac:dyDescent="0.3">
      <c r="A223" s="1">
        <v>45914</v>
      </c>
      <c r="B223" t="s">
        <v>169</v>
      </c>
      <c r="C223" t="s">
        <v>15</v>
      </c>
      <c r="D223" t="s">
        <v>51</v>
      </c>
      <c r="E223" t="s">
        <v>36</v>
      </c>
      <c r="F223" t="s">
        <v>18</v>
      </c>
      <c r="G223">
        <v>47</v>
      </c>
      <c r="H223">
        <v>120000</v>
      </c>
      <c r="I223">
        <v>5640000</v>
      </c>
    </row>
    <row r="224" spans="1:9" x14ac:dyDescent="0.3">
      <c r="A224" s="1">
        <v>45958</v>
      </c>
      <c r="B224" t="s">
        <v>239</v>
      </c>
      <c r="C224" t="s">
        <v>24</v>
      </c>
      <c r="D224" t="s">
        <v>101</v>
      </c>
      <c r="E224" t="s">
        <v>36</v>
      </c>
      <c r="F224" t="s">
        <v>29</v>
      </c>
      <c r="G224">
        <v>47</v>
      </c>
      <c r="H224">
        <v>55000</v>
      </c>
      <c r="I224">
        <v>2585000</v>
      </c>
    </row>
    <row r="225" spans="1:9" x14ac:dyDescent="0.3">
      <c r="A225" s="1">
        <v>45690</v>
      </c>
      <c r="B225" t="s">
        <v>260</v>
      </c>
      <c r="C225" t="s">
        <v>53</v>
      </c>
      <c r="D225" t="s">
        <v>79</v>
      </c>
      <c r="E225" t="s">
        <v>36</v>
      </c>
      <c r="F225" t="s">
        <v>29</v>
      </c>
      <c r="G225">
        <v>47</v>
      </c>
      <c r="H225">
        <v>65000</v>
      </c>
      <c r="I225">
        <v>3055000</v>
      </c>
    </row>
    <row r="226" spans="1:9" x14ac:dyDescent="0.3">
      <c r="A226" s="1">
        <v>45972</v>
      </c>
      <c r="B226" t="s">
        <v>476</v>
      </c>
      <c r="C226" t="s">
        <v>53</v>
      </c>
      <c r="D226" t="s">
        <v>201</v>
      </c>
      <c r="E226" t="s">
        <v>21</v>
      </c>
      <c r="F226" t="s">
        <v>18</v>
      </c>
      <c r="G226">
        <v>47</v>
      </c>
      <c r="H226">
        <v>65000</v>
      </c>
      <c r="I226">
        <v>3055000</v>
      </c>
    </row>
    <row r="227" spans="1:9" x14ac:dyDescent="0.3">
      <c r="A227" s="1">
        <v>45844</v>
      </c>
      <c r="B227" t="s">
        <v>535</v>
      </c>
      <c r="C227" t="s">
        <v>10</v>
      </c>
      <c r="D227" t="s">
        <v>40</v>
      </c>
      <c r="E227" t="s">
        <v>41</v>
      </c>
      <c r="F227" t="s">
        <v>29</v>
      </c>
      <c r="G227">
        <v>47</v>
      </c>
      <c r="H227">
        <v>75000</v>
      </c>
      <c r="I227">
        <v>3525000</v>
      </c>
    </row>
    <row r="228" spans="1:9" x14ac:dyDescent="0.3">
      <c r="A228" s="1">
        <v>45679</v>
      </c>
      <c r="B228" t="s">
        <v>894</v>
      </c>
      <c r="C228" t="s">
        <v>24</v>
      </c>
      <c r="D228" t="s">
        <v>104</v>
      </c>
      <c r="E228" t="s">
        <v>26</v>
      </c>
      <c r="F228" t="s">
        <v>22</v>
      </c>
      <c r="G228">
        <v>47</v>
      </c>
      <c r="H228">
        <v>55000</v>
      </c>
      <c r="I228">
        <v>2585000</v>
      </c>
    </row>
    <row r="229" spans="1:9" x14ac:dyDescent="0.3">
      <c r="A229" s="1">
        <v>45923</v>
      </c>
      <c r="B229" t="s">
        <v>970</v>
      </c>
      <c r="C229" t="s">
        <v>53</v>
      </c>
      <c r="D229" t="s">
        <v>119</v>
      </c>
      <c r="E229" t="s">
        <v>36</v>
      </c>
      <c r="F229" t="s">
        <v>29</v>
      </c>
      <c r="G229">
        <v>47</v>
      </c>
      <c r="H229">
        <v>65000</v>
      </c>
      <c r="I229">
        <v>3055000</v>
      </c>
    </row>
    <row r="230" spans="1:9" x14ac:dyDescent="0.3">
      <c r="A230" s="1">
        <v>45824</v>
      </c>
      <c r="B230" t="s">
        <v>1131</v>
      </c>
      <c r="C230" t="s">
        <v>15</v>
      </c>
      <c r="D230" t="s">
        <v>95</v>
      </c>
      <c r="E230" t="s">
        <v>26</v>
      </c>
      <c r="F230" t="s">
        <v>33</v>
      </c>
      <c r="G230">
        <v>47</v>
      </c>
      <c r="H230">
        <v>120000</v>
      </c>
      <c r="I230">
        <v>5640000</v>
      </c>
    </row>
    <row r="231" spans="1:9" x14ac:dyDescent="0.3">
      <c r="A231" s="1">
        <v>45981</v>
      </c>
      <c r="B231" t="s">
        <v>1194</v>
      </c>
      <c r="C231" t="s">
        <v>24</v>
      </c>
      <c r="D231" t="s">
        <v>91</v>
      </c>
      <c r="E231" t="s">
        <v>17</v>
      </c>
      <c r="F231" t="s">
        <v>33</v>
      </c>
      <c r="G231">
        <v>47</v>
      </c>
      <c r="H231">
        <v>55000</v>
      </c>
      <c r="I231">
        <v>2585000</v>
      </c>
    </row>
    <row r="232" spans="1:9" x14ac:dyDescent="0.3">
      <c r="A232" s="1">
        <v>45766</v>
      </c>
      <c r="B232" t="s">
        <v>1271</v>
      </c>
      <c r="C232" t="s">
        <v>53</v>
      </c>
      <c r="D232" t="s">
        <v>110</v>
      </c>
      <c r="E232" t="s">
        <v>32</v>
      </c>
      <c r="F232" t="s">
        <v>13</v>
      </c>
      <c r="G232">
        <v>47</v>
      </c>
      <c r="H232">
        <v>65000</v>
      </c>
      <c r="I232">
        <v>3055000</v>
      </c>
    </row>
    <row r="233" spans="1:9" x14ac:dyDescent="0.3">
      <c r="A233" s="1">
        <v>45694</v>
      </c>
      <c r="B233" t="s">
        <v>681</v>
      </c>
      <c r="C233" t="s">
        <v>10</v>
      </c>
      <c r="D233" t="s">
        <v>47</v>
      </c>
      <c r="E233" t="s">
        <v>41</v>
      </c>
      <c r="F233" t="s">
        <v>13</v>
      </c>
      <c r="G233">
        <v>48</v>
      </c>
      <c r="H233">
        <v>75000</v>
      </c>
      <c r="I233">
        <v>3600000</v>
      </c>
    </row>
    <row r="234" spans="1:9" x14ac:dyDescent="0.3">
      <c r="A234" s="1">
        <v>45895</v>
      </c>
      <c r="B234" t="s">
        <v>730</v>
      </c>
      <c r="C234" t="s">
        <v>53</v>
      </c>
      <c r="D234" t="s">
        <v>152</v>
      </c>
      <c r="E234" t="s">
        <v>36</v>
      </c>
      <c r="F234" t="s">
        <v>18</v>
      </c>
      <c r="G234">
        <v>48</v>
      </c>
      <c r="H234">
        <v>65000</v>
      </c>
      <c r="I234">
        <v>3120000</v>
      </c>
    </row>
    <row r="235" spans="1:9" x14ac:dyDescent="0.3">
      <c r="A235" s="1">
        <v>45829</v>
      </c>
      <c r="B235" t="s">
        <v>919</v>
      </c>
      <c r="C235" t="s">
        <v>15</v>
      </c>
      <c r="D235" t="s">
        <v>89</v>
      </c>
      <c r="E235" t="s">
        <v>12</v>
      </c>
      <c r="F235" t="s">
        <v>18</v>
      </c>
      <c r="G235">
        <v>48</v>
      </c>
      <c r="H235">
        <v>120000</v>
      </c>
      <c r="I235">
        <v>5760000</v>
      </c>
    </row>
    <row r="236" spans="1:9" x14ac:dyDescent="0.3">
      <c r="A236" s="1">
        <v>45664</v>
      </c>
      <c r="B236" t="s">
        <v>1065</v>
      </c>
      <c r="C236" t="s">
        <v>24</v>
      </c>
      <c r="D236" t="s">
        <v>20</v>
      </c>
      <c r="E236" t="s">
        <v>21</v>
      </c>
      <c r="F236" t="s">
        <v>18</v>
      </c>
      <c r="G236">
        <v>48</v>
      </c>
      <c r="H236">
        <v>55000</v>
      </c>
      <c r="I236">
        <v>2640000</v>
      </c>
    </row>
    <row r="237" spans="1:9" x14ac:dyDescent="0.3">
      <c r="A237" s="1">
        <v>45792</v>
      </c>
      <c r="B237" t="s">
        <v>1097</v>
      </c>
      <c r="C237" t="s">
        <v>15</v>
      </c>
      <c r="D237" t="s">
        <v>91</v>
      </c>
      <c r="E237" t="s">
        <v>17</v>
      </c>
      <c r="F237" t="s">
        <v>22</v>
      </c>
      <c r="G237">
        <v>48</v>
      </c>
      <c r="H237">
        <v>120000</v>
      </c>
      <c r="I237">
        <v>5760000</v>
      </c>
    </row>
    <row r="238" spans="1:9" x14ac:dyDescent="0.3">
      <c r="A238" s="1">
        <v>45708</v>
      </c>
      <c r="B238" t="s">
        <v>1104</v>
      </c>
      <c r="C238" t="s">
        <v>15</v>
      </c>
      <c r="D238" t="s">
        <v>49</v>
      </c>
      <c r="E238" t="s">
        <v>26</v>
      </c>
      <c r="F238" t="s">
        <v>29</v>
      </c>
      <c r="G238">
        <v>48</v>
      </c>
      <c r="H238">
        <v>120000</v>
      </c>
      <c r="I238">
        <v>5760000</v>
      </c>
    </row>
    <row r="239" spans="1:9" x14ac:dyDescent="0.3">
      <c r="A239" s="1">
        <v>45703</v>
      </c>
      <c r="B239" t="s">
        <v>1260</v>
      </c>
      <c r="C239" t="s">
        <v>15</v>
      </c>
      <c r="D239" t="s">
        <v>61</v>
      </c>
      <c r="E239" t="s">
        <v>17</v>
      </c>
      <c r="F239" t="s">
        <v>13</v>
      </c>
      <c r="G239">
        <v>48</v>
      </c>
      <c r="H239">
        <v>120000</v>
      </c>
      <c r="I239">
        <v>5760000</v>
      </c>
    </row>
    <row r="240" spans="1:9" x14ac:dyDescent="0.3">
      <c r="A240" s="1">
        <v>45709</v>
      </c>
      <c r="B240" t="s">
        <v>288</v>
      </c>
      <c r="C240" t="s">
        <v>24</v>
      </c>
      <c r="D240" t="s">
        <v>269</v>
      </c>
      <c r="E240" t="s">
        <v>32</v>
      </c>
      <c r="F240" t="s">
        <v>29</v>
      </c>
      <c r="G240">
        <v>49</v>
      </c>
      <c r="H240">
        <v>55000</v>
      </c>
      <c r="I240">
        <v>2695000</v>
      </c>
    </row>
    <row r="241" spans="1:9" x14ac:dyDescent="0.3">
      <c r="A241" s="1">
        <v>45872</v>
      </c>
      <c r="B241" t="s">
        <v>552</v>
      </c>
      <c r="C241" t="s">
        <v>15</v>
      </c>
      <c r="D241" t="s">
        <v>99</v>
      </c>
      <c r="E241" t="s">
        <v>32</v>
      </c>
      <c r="F241" t="s">
        <v>33</v>
      </c>
      <c r="G241">
        <v>49</v>
      </c>
      <c r="H241">
        <v>120000</v>
      </c>
      <c r="I241">
        <v>5880000</v>
      </c>
    </row>
    <row r="242" spans="1:9" x14ac:dyDescent="0.3">
      <c r="A242" s="1">
        <v>45872</v>
      </c>
      <c r="B242" t="s">
        <v>1064</v>
      </c>
      <c r="C242" t="s">
        <v>10</v>
      </c>
      <c r="D242" t="s">
        <v>86</v>
      </c>
      <c r="E242" t="s">
        <v>12</v>
      </c>
      <c r="F242" t="s">
        <v>29</v>
      </c>
      <c r="G242">
        <v>49</v>
      </c>
      <c r="H242">
        <v>75000</v>
      </c>
      <c r="I242">
        <v>3675000</v>
      </c>
    </row>
    <row r="243" spans="1:9" x14ac:dyDescent="0.3">
      <c r="A243" s="1">
        <v>45816</v>
      </c>
      <c r="B243" t="s">
        <v>348</v>
      </c>
      <c r="C243" t="s">
        <v>10</v>
      </c>
      <c r="D243" t="s">
        <v>61</v>
      </c>
      <c r="E243" t="s">
        <v>17</v>
      </c>
      <c r="F243" t="s">
        <v>22</v>
      </c>
      <c r="G243">
        <v>50</v>
      </c>
      <c r="H243">
        <v>75000</v>
      </c>
      <c r="I243">
        <v>3750000</v>
      </c>
    </row>
    <row r="244" spans="1:9" x14ac:dyDescent="0.3">
      <c r="A244" s="1">
        <v>45953</v>
      </c>
      <c r="B244" t="s">
        <v>383</v>
      </c>
      <c r="C244" t="s">
        <v>24</v>
      </c>
      <c r="D244" t="s">
        <v>116</v>
      </c>
      <c r="E244" t="s">
        <v>57</v>
      </c>
      <c r="F244" t="s">
        <v>13</v>
      </c>
      <c r="G244">
        <v>50</v>
      </c>
      <c r="H244">
        <v>55000</v>
      </c>
      <c r="I244">
        <v>2750000</v>
      </c>
    </row>
    <row r="245" spans="1:9" x14ac:dyDescent="0.3">
      <c r="A245" s="1">
        <v>45795</v>
      </c>
      <c r="B245" t="s">
        <v>410</v>
      </c>
      <c r="C245" t="s">
        <v>10</v>
      </c>
      <c r="D245" t="s">
        <v>47</v>
      </c>
      <c r="E245" t="s">
        <v>41</v>
      </c>
      <c r="F245" t="s">
        <v>22</v>
      </c>
      <c r="G245">
        <v>50</v>
      </c>
      <c r="H245">
        <v>75000</v>
      </c>
      <c r="I245">
        <v>3750000</v>
      </c>
    </row>
    <row r="246" spans="1:9" x14ac:dyDescent="0.3">
      <c r="A246" s="1">
        <v>45947</v>
      </c>
      <c r="B246" t="s">
        <v>658</v>
      </c>
      <c r="C246" t="s">
        <v>10</v>
      </c>
      <c r="D246" t="s">
        <v>110</v>
      </c>
      <c r="E246" t="s">
        <v>32</v>
      </c>
      <c r="F246" t="s">
        <v>18</v>
      </c>
      <c r="G246">
        <v>50</v>
      </c>
      <c r="H246">
        <v>75000</v>
      </c>
      <c r="I246">
        <v>3750000</v>
      </c>
    </row>
    <row r="247" spans="1:9" x14ac:dyDescent="0.3">
      <c r="A247" s="1">
        <v>45690</v>
      </c>
      <c r="B247" t="s">
        <v>664</v>
      </c>
      <c r="C247" t="s">
        <v>15</v>
      </c>
      <c r="D247" t="s">
        <v>11</v>
      </c>
      <c r="E247" t="s">
        <v>12</v>
      </c>
      <c r="F247" t="s">
        <v>29</v>
      </c>
      <c r="G247">
        <v>50</v>
      </c>
      <c r="H247">
        <v>120000</v>
      </c>
      <c r="I247">
        <v>6000000</v>
      </c>
    </row>
    <row r="248" spans="1:9" x14ac:dyDescent="0.3">
      <c r="A248" s="1">
        <v>45883</v>
      </c>
      <c r="B248" t="s">
        <v>886</v>
      </c>
      <c r="C248" t="s">
        <v>10</v>
      </c>
      <c r="D248" t="s">
        <v>68</v>
      </c>
      <c r="E248" t="s">
        <v>21</v>
      </c>
      <c r="F248" t="s">
        <v>22</v>
      </c>
      <c r="G248">
        <v>50</v>
      </c>
      <c r="H248">
        <v>75000</v>
      </c>
      <c r="I248">
        <v>3750000</v>
      </c>
    </row>
    <row r="249" spans="1:9" x14ac:dyDescent="0.3">
      <c r="A249" s="1">
        <v>45953</v>
      </c>
      <c r="B249" t="s">
        <v>935</v>
      </c>
      <c r="C249" t="s">
        <v>10</v>
      </c>
      <c r="D249" t="s">
        <v>47</v>
      </c>
      <c r="E249" t="s">
        <v>41</v>
      </c>
      <c r="F249" t="s">
        <v>22</v>
      </c>
      <c r="G249">
        <v>50</v>
      </c>
      <c r="H249">
        <v>75000</v>
      </c>
      <c r="I249">
        <v>3750000</v>
      </c>
    </row>
    <row r="250" spans="1:9" x14ac:dyDescent="0.3">
      <c r="A250" s="1">
        <v>45744</v>
      </c>
      <c r="B250" t="s">
        <v>1032</v>
      </c>
      <c r="C250" t="s">
        <v>10</v>
      </c>
      <c r="D250" t="s">
        <v>251</v>
      </c>
      <c r="E250" t="s">
        <v>12</v>
      </c>
      <c r="F250" t="s">
        <v>29</v>
      </c>
      <c r="G250">
        <v>50</v>
      </c>
      <c r="H250">
        <v>75000</v>
      </c>
      <c r="I250">
        <v>3750000</v>
      </c>
    </row>
    <row r="251" spans="1:9" x14ac:dyDescent="0.3">
      <c r="A251" s="1">
        <v>45943</v>
      </c>
      <c r="B251" t="s">
        <v>1095</v>
      </c>
      <c r="C251" t="s">
        <v>24</v>
      </c>
      <c r="D251" t="s">
        <v>16</v>
      </c>
      <c r="E251" t="s">
        <v>17</v>
      </c>
      <c r="F251" t="s">
        <v>22</v>
      </c>
      <c r="G251">
        <v>50</v>
      </c>
      <c r="H251">
        <v>55000</v>
      </c>
      <c r="I251">
        <v>2750000</v>
      </c>
    </row>
    <row r="252" spans="1:9" x14ac:dyDescent="0.3">
      <c r="A252" s="1">
        <v>45785</v>
      </c>
      <c r="B252" t="s">
        <v>742</v>
      </c>
      <c r="C252" t="s">
        <v>53</v>
      </c>
      <c r="D252" t="s">
        <v>83</v>
      </c>
      <c r="E252" t="s">
        <v>21</v>
      </c>
      <c r="F252" t="s">
        <v>22</v>
      </c>
      <c r="G252">
        <v>51</v>
      </c>
      <c r="H252">
        <v>65000</v>
      </c>
      <c r="I252">
        <v>3315000</v>
      </c>
    </row>
    <row r="253" spans="1:9" x14ac:dyDescent="0.3">
      <c r="A253" s="1">
        <v>45922</v>
      </c>
      <c r="B253" t="s">
        <v>753</v>
      </c>
      <c r="C253" t="s">
        <v>24</v>
      </c>
      <c r="D253" t="s">
        <v>16</v>
      </c>
      <c r="E253" t="s">
        <v>17</v>
      </c>
      <c r="F253" t="s">
        <v>29</v>
      </c>
      <c r="G253">
        <v>51</v>
      </c>
      <c r="H253">
        <v>55000</v>
      </c>
      <c r="I253">
        <v>2805000</v>
      </c>
    </row>
    <row r="254" spans="1:9" x14ac:dyDescent="0.3">
      <c r="A254" s="1">
        <v>45844</v>
      </c>
      <c r="B254" t="s">
        <v>804</v>
      </c>
      <c r="C254" t="s">
        <v>10</v>
      </c>
      <c r="D254" t="s">
        <v>47</v>
      </c>
      <c r="E254" t="s">
        <v>41</v>
      </c>
      <c r="F254" t="s">
        <v>18</v>
      </c>
      <c r="G254">
        <v>51</v>
      </c>
      <c r="H254">
        <v>75000</v>
      </c>
      <c r="I254">
        <v>3825000</v>
      </c>
    </row>
    <row r="255" spans="1:9" x14ac:dyDescent="0.3">
      <c r="A255" s="1">
        <v>45955</v>
      </c>
      <c r="B255" t="s">
        <v>1053</v>
      </c>
      <c r="C255" t="s">
        <v>53</v>
      </c>
      <c r="D255" t="s">
        <v>201</v>
      </c>
      <c r="E255" t="s">
        <v>21</v>
      </c>
      <c r="F255" t="s">
        <v>13</v>
      </c>
      <c r="G255">
        <v>51</v>
      </c>
      <c r="H255">
        <v>65000</v>
      </c>
      <c r="I255">
        <v>3315000</v>
      </c>
    </row>
    <row r="256" spans="1:9" x14ac:dyDescent="0.3">
      <c r="A256" s="1">
        <v>45840</v>
      </c>
      <c r="B256" t="s">
        <v>1150</v>
      </c>
      <c r="C256" t="s">
        <v>10</v>
      </c>
      <c r="D256" t="s">
        <v>38</v>
      </c>
      <c r="E256" t="s">
        <v>17</v>
      </c>
      <c r="F256" t="s">
        <v>18</v>
      </c>
      <c r="G256">
        <v>51</v>
      </c>
      <c r="H256">
        <v>75000</v>
      </c>
      <c r="I256">
        <v>3825000</v>
      </c>
    </row>
    <row r="257" spans="1:9" x14ac:dyDescent="0.3">
      <c r="A257" s="1">
        <v>45850</v>
      </c>
      <c r="B257" t="s">
        <v>245</v>
      </c>
      <c r="C257" t="s">
        <v>53</v>
      </c>
      <c r="D257" t="s">
        <v>68</v>
      </c>
      <c r="E257" t="s">
        <v>21</v>
      </c>
      <c r="F257" t="s">
        <v>13</v>
      </c>
      <c r="G257">
        <v>52</v>
      </c>
      <c r="H257">
        <v>65000</v>
      </c>
      <c r="I257">
        <v>3380000</v>
      </c>
    </row>
    <row r="258" spans="1:9" x14ac:dyDescent="0.3">
      <c r="A258" s="1">
        <v>46007</v>
      </c>
      <c r="B258" t="s">
        <v>502</v>
      </c>
      <c r="C258" t="s">
        <v>24</v>
      </c>
      <c r="D258" t="s">
        <v>56</v>
      </c>
      <c r="E258" t="s">
        <v>57</v>
      </c>
      <c r="F258" t="s">
        <v>13</v>
      </c>
      <c r="G258">
        <v>52</v>
      </c>
      <c r="H258">
        <v>55000</v>
      </c>
      <c r="I258">
        <v>2860000</v>
      </c>
    </row>
    <row r="259" spans="1:9" x14ac:dyDescent="0.3">
      <c r="A259" s="1">
        <v>45927</v>
      </c>
      <c r="B259" t="s">
        <v>574</v>
      </c>
      <c r="C259" t="s">
        <v>24</v>
      </c>
      <c r="D259" t="s">
        <v>56</v>
      </c>
      <c r="E259" t="s">
        <v>57</v>
      </c>
      <c r="F259" t="s">
        <v>29</v>
      </c>
      <c r="G259">
        <v>52</v>
      </c>
      <c r="H259">
        <v>55000</v>
      </c>
      <c r="I259">
        <v>2860000</v>
      </c>
    </row>
    <row r="260" spans="1:9" x14ac:dyDescent="0.3">
      <c r="A260" s="1">
        <v>45790</v>
      </c>
      <c r="B260" t="s">
        <v>639</v>
      </c>
      <c r="C260" t="s">
        <v>15</v>
      </c>
      <c r="D260" t="s">
        <v>305</v>
      </c>
      <c r="E260" t="s">
        <v>32</v>
      </c>
      <c r="F260" t="s">
        <v>33</v>
      </c>
      <c r="G260">
        <v>52</v>
      </c>
      <c r="H260">
        <v>120000</v>
      </c>
      <c r="I260">
        <v>6240000</v>
      </c>
    </row>
    <row r="261" spans="1:9" x14ac:dyDescent="0.3">
      <c r="A261" s="1">
        <v>45709</v>
      </c>
      <c r="B261" t="s">
        <v>667</v>
      </c>
      <c r="C261" t="s">
        <v>53</v>
      </c>
      <c r="D261" t="s">
        <v>47</v>
      </c>
      <c r="E261" t="s">
        <v>41</v>
      </c>
      <c r="F261" t="s">
        <v>33</v>
      </c>
      <c r="G261">
        <v>52</v>
      </c>
      <c r="H261">
        <v>65000</v>
      </c>
      <c r="I261">
        <v>3380000</v>
      </c>
    </row>
    <row r="262" spans="1:9" x14ac:dyDescent="0.3">
      <c r="A262" s="1">
        <v>45743</v>
      </c>
      <c r="B262" t="s">
        <v>1187</v>
      </c>
      <c r="C262" t="s">
        <v>24</v>
      </c>
      <c r="D262" t="s">
        <v>110</v>
      </c>
      <c r="E262" t="s">
        <v>32</v>
      </c>
      <c r="F262" t="s">
        <v>13</v>
      </c>
      <c r="G262">
        <v>52</v>
      </c>
      <c r="H262">
        <v>55000</v>
      </c>
      <c r="I262">
        <v>2860000</v>
      </c>
    </row>
    <row r="263" spans="1:9" x14ac:dyDescent="0.3">
      <c r="A263" s="1">
        <v>45975</v>
      </c>
      <c r="B263" t="s">
        <v>1221</v>
      </c>
      <c r="C263" t="s">
        <v>10</v>
      </c>
      <c r="D263" t="s">
        <v>116</v>
      </c>
      <c r="E263" t="s">
        <v>57</v>
      </c>
      <c r="F263" t="s">
        <v>18</v>
      </c>
      <c r="G263">
        <v>52</v>
      </c>
      <c r="H263">
        <v>75000</v>
      </c>
      <c r="I263">
        <v>3900000</v>
      </c>
    </row>
    <row r="264" spans="1:9" x14ac:dyDescent="0.3">
      <c r="A264" s="1">
        <v>45796</v>
      </c>
      <c r="B264" t="s">
        <v>1244</v>
      </c>
      <c r="C264" t="s">
        <v>53</v>
      </c>
      <c r="D264" t="s">
        <v>129</v>
      </c>
      <c r="E264" t="s">
        <v>57</v>
      </c>
      <c r="F264" t="s">
        <v>13</v>
      </c>
      <c r="G264">
        <v>52</v>
      </c>
      <c r="H264">
        <v>65000</v>
      </c>
      <c r="I264">
        <v>3380000</v>
      </c>
    </row>
    <row r="265" spans="1:9" x14ac:dyDescent="0.3">
      <c r="A265" s="1">
        <v>45672</v>
      </c>
      <c r="B265" t="s">
        <v>319</v>
      </c>
      <c r="C265" t="s">
        <v>24</v>
      </c>
      <c r="D265" t="s">
        <v>43</v>
      </c>
      <c r="E265" t="s">
        <v>26</v>
      </c>
      <c r="F265" t="s">
        <v>22</v>
      </c>
      <c r="G265">
        <v>53</v>
      </c>
      <c r="H265">
        <v>55000</v>
      </c>
      <c r="I265">
        <v>2915000</v>
      </c>
    </row>
    <row r="266" spans="1:9" x14ac:dyDescent="0.3">
      <c r="A266" s="1">
        <v>45757</v>
      </c>
      <c r="B266" t="s">
        <v>496</v>
      </c>
      <c r="C266" t="s">
        <v>24</v>
      </c>
      <c r="D266" t="s">
        <v>152</v>
      </c>
      <c r="E266" t="s">
        <v>36</v>
      </c>
      <c r="F266" t="s">
        <v>29</v>
      </c>
      <c r="G266">
        <v>53</v>
      </c>
      <c r="H266">
        <v>55000</v>
      </c>
      <c r="I266">
        <v>2915000</v>
      </c>
    </row>
    <row r="267" spans="1:9" x14ac:dyDescent="0.3">
      <c r="A267" s="1">
        <v>45727</v>
      </c>
      <c r="B267" t="s">
        <v>740</v>
      </c>
      <c r="C267" t="s">
        <v>15</v>
      </c>
      <c r="D267" t="s">
        <v>101</v>
      </c>
      <c r="E267" t="s">
        <v>36</v>
      </c>
      <c r="F267" t="s">
        <v>33</v>
      </c>
      <c r="G267">
        <v>53</v>
      </c>
      <c r="H267">
        <v>120000</v>
      </c>
      <c r="I267">
        <v>6360000</v>
      </c>
    </row>
    <row r="268" spans="1:9" x14ac:dyDescent="0.3">
      <c r="A268" s="1">
        <v>45878</v>
      </c>
      <c r="B268" t="s">
        <v>1025</v>
      </c>
      <c r="C268" t="s">
        <v>53</v>
      </c>
      <c r="D268" t="s">
        <v>99</v>
      </c>
      <c r="E268" t="s">
        <v>32</v>
      </c>
      <c r="F268" t="s">
        <v>18</v>
      </c>
      <c r="G268">
        <v>53</v>
      </c>
      <c r="H268">
        <v>65000</v>
      </c>
      <c r="I268">
        <v>3445000</v>
      </c>
    </row>
    <row r="269" spans="1:9" x14ac:dyDescent="0.3">
      <c r="A269" s="1">
        <v>46015</v>
      </c>
      <c r="B269" t="s">
        <v>117</v>
      </c>
      <c r="C269" t="s">
        <v>24</v>
      </c>
      <c r="D269" t="s">
        <v>47</v>
      </c>
      <c r="E269" t="s">
        <v>41</v>
      </c>
      <c r="F269" t="s">
        <v>18</v>
      </c>
      <c r="G269">
        <v>54</v>
      </c>
      <c r="H269">
        <v>55000</v>
      </c>
      <c r="I269">
        <v>2970000</v>
      </c>
    </row>
    <row r="270" spans="1:9" x14ac:dyDescent="0.3">
      <c r="A270" s="1">
        <v>45807</v>
      </c>
      <c r="B270" t="s">
        <v>241</v>
      </c>
      <c r="C270" t="s">
        <v>24</v>
      </c>
      <c r="D270" t="s">
        <v>184</v>
      </c>
      <c r="E270" t="s">
        <v>57</v>
      </c>
      <c r="F270" t="s">
        <v>22</v>
      </c>
      <c r="G270">
        <v>54</v>
      </c>
      <c r="H270">
        <v>55000</v>
      </c>
      <c r="I270">
        <v>2970000</v>
      </c>
    </row>
    <row r="271" spans="1:9" x14ac:dyDescent="0.3">
      <c r="A271" s="1">
        <v>46017</v>
      </c>
      <c r="B271" t="s">
        <v>318</v>
      </c>
      <c r="C271" t="s">
        <v>10</v>
      </c>
      <c r="D271" t="s">
        <v>141</v>
      </c>
      <c r="E271" t="s">
        <v>21</v>
      </c>
      <c r="F271" t="s">
        <v>22</v>
      </c>
      <c r="G271">
        <v>54</v>
      </c>
      <c r="H271">
        <v>75000</v>
      </c>
      <c r="I271">
        <v>4050000</v>
      </c>
    </row>
    <row r="272" spans="1:9" x14ac:dyDescent="0.3">
      <c r="A272" s="1">
        <v>45691</v>
      </c>
      <c r="B272" t="s">
        <v>882</v>
      </c>
      <c r="C272" t="s">
        <v>53</v>
      </c>
      <c r="D272" t="s">
        <v>49</v>
      </c>
      <c r="E272" t="s">
        <v>26</v>
      </c>
      <c r="F272" t="s">
        <v>13</v>
      </c>
      <c r="G272">
        <v>54</v>
      </c>
      <c r="H272">
        <v>65000</v>
      </c>
      <c r="I272">
        <v>3510000</v>
      </c>
    </row>
    <row r="273" spans="1:9" x14ac:dyDescent="0.3">
      <c r="A273" s="1">
        <v>45690</v>
      </c>
      <c r="B273" t="s">
        <v>906</v>
      </c>
      <c r="C273" t="s">
        <v>24</v>
      </c>
      <c r="D273" t="s">
        <v>110</v>
      </c>
      <c r="E273" t="s">
        <v>32</v>
      </c>
      <c r="F273" t="s">
        <v>13</v>
      </c>
      <c r="G273">
        <v>54</v>
      </c>
      <c r="H273">
        <v>55000</v>
      </c>
      <c r="I273">
        <v>2970000</v>
      </c>
    </row>
    <row r="274" spans="1:9" x14ac:dyDescent="0.3">
      <c r="A274" s="1">
        <v>45985</v>
      </c>
      <c r="B274" t="s">
        <v>1018</v>
      </c>
      <c r="C274" t="s">
        <v>15</v>
      </c>
      <c r="D274" t="s">
        <v>124</v>
      </c>
      <c r="E274" t="s">
        <v>26</v>
      </c>
      <c r="F274" t="s">
        <v>18</v>
      </c>
      <c r="G274">
        <v>54</v>
      </c>
      <c r="H274">
        <v>120000</v>
      </c>
      <c r="I274">
        <v>6480000</v>
      </c>
    </row>
    <row r="275" spans="1:9" x14ac:dyDescent="0.3">
      <c r="A275" s="1">
        <v>45953</v>
      </c>
      <c r="B275" t="s">
        <v>1024</v>
      </c>
      <c r="C275" t="s">
        <v>15</v>
      </c>
      <c r="D275" t="s">
        <v>31</v>
      </c>
      <c r="E275" t="s">
        <v>32</v>
      </c>
      <c r="F275" t="s">
        <v>18</v>
      </c>
      <c r="G275">
        <v>54</v>
      </c>
      <c r="H275">
        <v>120000</v>
      </c>
      <c r="I275">
        <v>6480000</v>
      </c>
    </row>
    <row r="276" spans="1:9" x14ac:dyDescent="0.3">
      <c r="A276" s="1">
        <v>45665</v>
      </c>
      <c r="B276" t="s">
        <v>1173</v>
      </c>
      <c r="C276" t="s">
        <v>24</v>
      </c>
      <c r="D276" t="s">
        <v>65</v>
      </c>
      <c r="E276" t="s">
        <v>21</v>
      </c>
      <c r="F276" t="s">
        <v>22</v>
      </c>
      <c r="G276">
        <v>54</v>
      </c>
      <c r="H276">
        <v>55000</v>
      </c>
      <c r="I276">
        <v>2970000</v>
      </c>
    </row>
    <row r="277" spans="1:9" x14ac:dyDescent="0.3">
      <c r="A277" s="1">
        <v>45848</v>
      </c>
      <c r="B277" t="s">
        <v>326</v>
      </c>
      <c r="C277" t="s">
        <v>15</v>
      </c>
      <c r="D277" t="s">
        <v>68</v>
      </c>
      <c r="E277" t="s">
        <v>21</v>
      </c>
      <c r="F277" t="s">
        <v>13</v>
      </c>
      <c r="G277">
        <v>55</v>
      </c>
      <c r="H277">
        <v>120000</v>
      </c>
      <c r="I277">
        <v>6600000</v>
      </c>
    </row>
    <row r="278" spans="1:9" x14ac:dyDescent="0.3">
      <c r="A278" s="1">
        <v>45675</v>
      </c>
      <c r="B278" t="s">
        <v>345</v>
      </c>
      <c r="C278" t="s">
        <v>53</v>
      </c>
      <c r="D278" t="s">
        <v>25</v>
      </c>
      <c r="E278" t="s">
        <v>26</v>
      </c>
      <c r="F278" t="s">
        <v>22</v>
      </c>
      <c r="G278">
        <v>55</v>
      </c>
      <c r="H278">
        <v>65000</v>
      </c>
      <c r="I278">
        <v>3575000</v>
      </c>
    </row>
    <row r="279" spans="1:9" x14ac:dyDescent="0.3">
      <c r="A279" s="1">
        <v>45987</v>
      </c>
      <c r="B279" t="s">
        <v>435</v>
      </c>
      <c r="C279" t="s">
        <v>53</v>
      </c>
      <c r="D279" t="s">
        <v>40</v>
      </c>
      <c r="E279" t="s">
        <v>41</v>
      </c>
      <c r="F279" t="s">
        <v>22</v>
      </c>
      <c r="G279">
        <v>55</v>
      </c>
      <c r="H279">
        <v>65000</v>
      </c>
      <c r="I279">
        <v>3575000</v>
      </c>
    </row>
    <row r="280" spans="1:9" x14ac:dyDescent="0.3">
      <c r="A280" s="1">
        <v>45924</v>
      </c>
      <c r="B280" t="s">
        <v>660</v>
      </c>
      <c r="C280" t="s">
        <v>24</v>
      </c>
      <c r="D280" t="s">
        <v>91</v>
      </c>
      <c r="E280" t="s">
        <v>17</v>
      </c>
      <c r="F280" t="s">
        <v>18</v>
      </c>
      <c r="G280">
        <v>55</v>
      </c>
      <c r="H280">
        <v>55000</v>
      </c>
      <c r="I280">
        <v>3025000</v>
      </c>
    </row>
    <row r="281" spans="1:9" x14ac:dyDescent="0.3">
      <c r="A281" s="1">
        <v>45861</v>
      </c>
      <c r="B281" t="s">
        <v>908</v>
      </c>
      <c r="C281" t="s">
        <v>24</v>
      </c>
      <c r="D281" t="s">
        <v>35</v>
      </c>
      <c r="E281" t="s">
        <v>36</v>
      </c>
      <c r="F281" t="s">
        <v>33</v>
      </c>
      <c r="G281">
        <v>55</v>
      </c>
      <c r="H281">
        <v>55000</v>
      </c>
      <c r="I281">
        <v>3025000</v>
      </c>
    </row>
    <row r="282" spans="1:9" x14ac:dyDescent="0.3">
      <c r="A282" s="1">
        <v>45677</v>
      </c>
      <c r="B282" t="s">
        <v>925</v>
      </c>
      <c r="C282" t="s">
        <v>53</v>
      </c>
      <c r="D282" t="s">
        <v>11</v>
      </c>
      <c r="E282" t="s">
        <v>12</v>
      </c>
      <c r="F282" t="s">
        <v>29</v>
      </c>
      <c r="G282">
        <v>55</v>
      </c>
      <c r="H282">
        <v>65000</v>
      </c>
      <c r="I282">
        <v>3575000</v>
      </c>
    </row>
    <row r="283" spans="1:9" x14ac:dyDescent="0.3">
      <c r="A283" s="1">
        <v>45742</v>
      </c>
      <c r="B283" t="s">
        <v>1146</v>
      </c>
      <c r="C283" t="s">
        <v>15</v>
      </c>
      <c r="D283" t="s">
        <v>51</v>
      </c>
      <c r="E283" t="s">
        <v>36</v>
      </c>
      <c r="F283" t="s">
        <v>29</v>
      </c>
      <c r="G283">
        <v>55</v>
      </c>
      <c r="H283">
        <v>120000</v>
      </c>
      <c r="I283">
        <v>6600000</v>
      </c>
    </row>
    <row r="284" spans="1:9" x14ac:dyDescent="0.3">
      <c r="A284" s="1">
        <v>45712</v>
      </c>
      <c r="B284" t="s">
        <v>1243</v>
      </c>
      <c r="C284" t="s">
        <v>15</v>
      </c>
      <c r="D284" t="s">
        <v>25</v>
      </c>
      <c r="E284" t="s">
        <v>26</v>
      </c>
      <c r="F284" t="s">
        <v>13</v>
      </c>
      <c r="G284">
        <v>55</v>
      </c>
      <c r="H284">
        <v>120000</v>
      </c>
      <c r="I284">
        <v>6600000</v>
      </c>
    </row>
    <row r="285" spans="1:9" x14ac:dyDescent="0.3">
      <c r="A285" s="1">
        <v>45834</v>
      </c>
      <c r="B285" t="s">
        <v>1252</v>
      </c>
      <c r="C285" t="s">
        <v>10</v>
      </c>
      <c r="D285" t="s">
        <v>201</v>
      </c>
      <c r="E285" t="s">
        <v>21</v>
      </c>
      <c r="F285" t="s">
        <v>33</v>
      </c>
      <c r="G285">
        <v>55</v>
      </c>
      <c r="H285">
        <v>75000</v>
      </c>
      <c r="I285">
        <v>4125000</v>
      </c>
    </row>
    <row r="286" spans="1:9" x14ac:dyDescent="0.3">
      <c r="A286" s="1">
        <v>45694</v>
      </c>
      <c r="B286" t="s">
        <v>890</v>
      </c>
      <c r="C286" t="s">
        <v>15</v>
      </c>
      <c r="D286" t="s">
        <v>65</v>
      </c>
      <c r="E286" t="s">
        <v>21</v>
      </c>
      <c r="F286" t="s">
        <v>13</v>
      </c>
      <c r="G286">
        <v>56</v>
      </c>
      <c r="H286">
        <v>120000</v>
      </c>
      <c r="I286">
        <v>6720000</v>
      </c>
    </row>
    <row r="287" spans="1:9" x14ac:dyDescent="0.3">
      <c r="A287" s="1">
        <v>45804</v>
      </c>
      <c r="B287" t="s">
        <v>106</v>
      </c>
      <c r="C287" t="s">
        <v>10</v>
      </c>
      <c r="D287" t="s">
        <v>104</v>
      </c>
      <c r="E287" t="s">
        <v>26</v>
      </c>
      <c r="F287" t="s">
        <v>22</v>
      </c>
      <c r="G287">
        <v>57</v>
      </c>
      <c r="H287">
        <v>75000</v>
      </c>
      <c r="I287">
        <v>4275000</v>
      </c>
    </row>
    <row r="288" spans="1:9" x14ac:dyDescent="0.3">
      <c r="A288" s="1">
        <v>45677</v>
      </c>
      <c r="B288" t="s">
        <v>135</v>
      </c>
      <c r="C288" t="s">
        <v>10</v>
      </c>
      <c r="D288" t="s">
        <v>136</v>
      </c>
      <c r="E288" t="s">
        <v>36</v>
      </c>
      <c r="F288" t="s">
        <v>33</v>
      </c>
      <c r="G288">
        <v>57</v>
      </c>
      <c r="H288">
        <v>75000</v>
      </c>
      <c r="I288">
        <v>4275000</v>
      </c>
    </row>
    <row r="289" spans="1:9" x14ac:dyDescent="0.3">
      <c r="A289" s="1">
        <v>45673</v>
      </c>
      <c r="B289" t="s">
        <v>170</v>
      </c>
      <c r="C289" t="s">
        <v>53</v>
      </c>
      <c r="D289" t="s">
        <v>61</v>
      </c>
      <c r="E289" t="s">
        <v>17</v>
      </c>
      <c r="F289" t="s">
        <v>29</v>
      </c>
      <c r="G289">
        <v>57</v>
      </c>
      <c r="H289">
        <v>65000</v>
      </c>
      <c r="I289">
        <v>3705000</v>
      </c>
    </row>
    <row r="290" spans="1:9" x14ac:dyDescent="0.3">
      <c r="A290" s="1">
        <v>45823</v>
      </c>
      <c r="B290" t="s">
        <v>207</v>
      </c>
      <c r="C290" t="s">
        <v>53</v>
      </c>
      <c r="D290" t="s">
        <v>91</v>
      </c>
      <c r="E290" t="s">
        <v>17</v>
      </c>
      <c r="F290" t="s">
        <v>18</v>
      </c>
      <c r="G290">
        <v>57</v>
      </c>
      <c r="H290">
        <v>65000</v>
      </c>
      <c r="I290">
        <v>3705000</v>
      </c>
    </row>
    <row r="291" spans="1:9" x14ac:dyDescent="0.3">
      <c r="A291" s="1">
        <v>45730</v>
      </c>
      <c r="B291" t="s">
        <v>258</v>
      </c>
      <c r="C291" t="s">
        <v>15</v>
      </c>
      <c r="D291" t="s">
        <v>65</v>
      </c>
      <c r="E291" t="s">
        <v>21</v>
      </c>
      <c r="F291" t="s">
        <v>22</v>
      </c>
      <c r="G291">
        <v>57</v>
      </c>
      <c r="H291">
        <v>120000</v>
      </c>
      <c r="I291">
        <v>6840000</v>
      </c>
    </row>
    <row r="292" spans="1:9" x14ac:dyDescent="0.3">
      <c r="A292" s="1">
        <v>45941</v>
      </c>
      <c r="B292" t="s">
        <v>360</v>
      </c>
      <c r="C292" t="s">
        <v>24</v>
      </c>
      <c r="D292" t="s">
        <v>61</v>
      </c>
      <c r="E292" t="s">
        <v>17</v>
      </c>
      <c r="F292" t="s">
        <v>33</v>
      </c>
      <c r="G292">
        <v>57</v>
      </c>
      <c r="H292">
        <v>55000</v>
      </c>
      <c r="I292">
        <v>3135000</v>
      </c>
    </row>
    <row r="293" spans="1:9" x14ac:dyDescent="0.3">
      <c r="A293" s="1">
        <v>45993</v>
      </c>
      <c r="B293" t="s">
        <v>437</v>
      </c>
      <c r="C293" t="s">
        <v>10</v>
      </c>
      <c r="D293" t="s">
        <v>201</v>
      </c>
      <c r="E293" t="s">
        <v>21</v>
      </c>
      <c r="F293" t="s">
        <v>29</v>
      </c>
      <c r="G293">
        <v>57</v>
      </c>
      <c r="H293">
        <v>75000</v>
      </c>
      <c r="I293">
        <v>4275000</v>
      </c>
    </row>
    <row r="294" spans="1:9" x14ac:dyDescent="0.3">
      <c r="A294" s="1">
        <v>45952</v>
      </c>
      <c r="B294" t="s">
        <v>607</v>
      </c>
      <c r="C294" t="s">
        <v>53</v>
      </c>
      <c r="D294" t="s">
        <v>63</v>
      </c>
      <c r="E294" t="s">
        <v>32</v>
      </c>
      <c r="F294" t="s">
        <v>13</v>
      </c>
      <c r="G294">
        <v>57</v>
      </c>
      <c r="H294">
        <v>65000</v>
      </c>
      <c r="I294">
        <v>3705000</v>
      </c>
    </row>
    <row r="295" spans="1:9" x14ac:dyDescent="0.3">
      <c r="A295" s="1">
        <v>45856</v>
      </c>
      <c r="B295" t="s">
        <v>775</v>
      </c>
      <c r="C295" t="s">
        <v>15</v>
      </c>
      <c r="D295" t="s">
        <v>121</v>
      </c>
      <c r="E295" t="s">
        <v>32</v>
      </c>
      <c r="F295" t="s">
        <v>29</v>
      </c>
      <c r="G295">
        <v>57</v>
      </c>
      <c r="H295">
        <v>120000</v>
      </c>
      <c r="I295">
        <v>6840000</v>
      </c>
    </row>
    <row r="296" spans="1:9" x14ac:dyDescent="0.3">
      <c r="A296" s="1">
        <v>45978</v>
      </c>
      <c r="B296" t="s">
        <v>877</v>
      </c>
      <c r="C296" t="s">
        <v>53</v>
      </c>
      <c r="D296" t="s">
        <v>141</v>
      </c>
      <c r="E296" t="s">
        <v>21</v>
      </c>
      <c r="F296" t="s">
        <v>18</v>
      </c>
      <c r="G296">
        <v>57</v>
      </c>
      <c r="H296">
        <v>65000</v>
      </c>
      <c r="I296">
        <v>3705000</v>
      </c>
    </row>
    <row r="297" spans="1:9" x14ac:dyDescent="0.3">
      <c r="A297" s="1">
        <v>45931</v>
      </c>
      <c r="B297" t="s">
        <v>1127</v>
      </c>
      <c r="C297" t="s">
        <v>10</v>
      </c>
      <c r="D297" t="s">
        <v>79</v>
      </c>
      <c r="E297" t="s">
        <v>36</v>
      </c>
      <c r="F297" t="s">
        <v>18</v>
      </c>
      <c r="G297">
        <v>57</v>
      </c>
      <c r="H297">
        <v>75000</v>
      </c>
      <c r="I297">
        <v>4275000</v>
      </c>
    </row>
    <row r="298" spans="1:9" x14ac:dyDescent="0.3">
      <c r="A298" s="1">
        <v>45674</v>
      </c>
      <c r="B298" t="s">
        <v>156</v>
      </c>
      <c r="C298" t="s">
        <v>15</v>
      </c>
      <c r="D298" t="s">
        <v>86</v>
      </c>
      <c r="E298" t="s">
        <v>12</v>
      </c>
      <c r="F298" t="s">
        <v>22</v>
      </c>
      <c r="G298">
        <v>59</v>
      </c>
      <c r="H298">
        <v>120000</v>
      </c>
      <c r="I298">
        <v>7080000</v>
      </c>
    </row>
    <row r="299" spans="1:9" x14ac:dyDescent="0.3">
      <c r="A299" s="1">
        <v>45862</v>
      </c>
      <c r="B299" t="s">
        <v>261</v>
      </c>
      <c r="C299" t="s">
        <v>15</v>
      </c>
      <c r="D299" t="s">
        <v>16</v>
      </c>
      <c r="E299" t="s">
        <v>17</v>
      </c>
      <c r="F299" t="s">
        <v>18</v>
      </c>
      <c r="G299">
        <v>59</v>
      </c>
      <c r="H299">
        <v>120000</v>
      </c>
      <c r="I299">
        <v>7080000</v>
      </c>
    </row>
    <row r="300" spans="1:9" x14ac:dyDescent="0.3">
      <c r="A300" s="1">
        <v>45862</v>
      </c>
      <c r="B300" t="s">
        <v>457</v>
      </c>
      <c r="C300" t="s">
        <v>24</v>
      </c>
      <c r="D300" t="s">
        <v>35</v>
      </c>
      <c r="E300" t="s">
        <v>36</v>
      </c>
      <c r="F300" t="s">
        <v>33</v>
      </c>
      <c r="G300">
        <v>59</v>
      </c>
      <c r="H300">
        <v>55000</v>
      </c>
      <c r="I300">
        <v>3245000</v>
      </c>
    </row>
    <row r="301" spans="1:9" x14ac:dyDescent="0.3">
      <c r="A301" s="1">
        <v>45978</v>
      </c>
      <c r="B301" t="s">
        <v>470</v>
      </c>
      <c r="C301" t="s">
        <v>15</v>
      </c>
      <c r="D301" t="s">
        <v>119</v>
      </c>
      <c r="E301" t="s">
        <v>36</v>
      </c>
      <c r="F301" t="s">
        <v>29</v>
      </c>
      <c r="G301">
        <v>59</v>
      </c>
      <c r="H301">
        <v>120000</v>
      </c>
      <c r="I301">
        <v>7080000</v>
      </c>
    </row>
    <row r="302" spans="1:9" x14ac:dyDescent="0.3">
      <c r="A302" s="1">
        <v>45679</v>
      </c>
      <c r="B302" t="s">
        <v>532</v>
      </c>
      <c r="C302" t="s">
        <v>53</v>
      </c>
      <c r="D302" t="s">
        <v>104</v>
      </c>
      <c r="E302" t="s">
        <v>26</v>
      </c>
      <c r="F302" t="s">
        <v>33</v>
      </c>
      <c r="G302">
        <v>59</v>
      </c>
      <c r="H302">
        <v>65000</v>
      </c>
      <c r="I302">
        <v>3835000</v>
      </c>
    </row>
    <row r="303" spans="1:9" x14ac:dyDescent="0.3">
      <c r="A303" s="1">
        <v>45922</v>
      </c>
      <c r="B303" t="s">
        <v>575</v>
      </c>
      <c r="C303" t="s">
        <v>24</v>
      </c>
      <c r="D303" t="s">
        <v>104</v>
      </c>
      <c r="E303" t="s">
        <v>26</v>
      </c>
      <c r="F303" t="s">
        <v>18</v>
      </c>
      <c r="G303">
        <v>59</v>
      </c>
      <c r="H303">
        <v>55000</v>
      </c>
      <c r="I303">
        <v>3245000</v>
      </c>
    </row>
    <row r="304" spans="1:9" x14ac:dyDescent="0.3">
      <c r="A304" s="1">
        <v>45946</v>
      </c>
      <c r="B304" t="s">
        <v>705</v>
      </c>
      <c r="C304" t="s">
        <v>10</v>
      </c>
      <c r="D304" t="s">
        <v>141</v>
      </c>
      <c r="E304" t="s">
        <v>21</v>
      </c>
      <c r="F304" t="s">
        <v>29</v>
      </c>
      <c r="G304">
        <v>59</v>
      </c>
      <c r="H304">
        <v>75000</v>
      </c>
      <c r="I304">
        <v>4425000</v>
      </c>
    </row>
    <row r="305" spans="1:9" x14ac:dyDescent="0.3">
      <c r="A305" s="1">
        <v>45857</v>
      </c>
      <c r="B305" t="s">
        <v>907</v>
      </c>
      <c r="C305" t="s">
        <v>53</v>
      </c>
      <c r="D305" t="s">
        <v>59</v>
      </c>
      <c r="E305" t="s">
        <v>41</v>
      </c>
      <c r="F305" t="s">
        <v>22</v>
      </c>
      <c r="G305">
        <v>59</v>
      </c>
      <c r="H305">
        <v>65000</v>
      </c>
      <c r="I305">
        <v>3835000</v>
      </c>
    </row>
    <row r="306" spans="1:9" x14ac:dyDescent="0.3">
      <c r="A306" s="1">
        <v>45801</v>
      </c>
      <c r="B306" t="s">
        <v>1113</v>
      </c>
      <c r="C306" t="s">
        <v>53</v>
      </c>
      <c r="D306" t="s">
        <v>79</v>
      </c>
      <c r="E306" t="s">
        <v>36</v>
      </c>
      <c r="F306" t="s">
        <v>18</v>
      </c>
      <c r="G306">
        <v>59</v>
      </c>
      <c r="H306">
        <v>65000</v>
      </c>
      <c r="I306">
        <v>3835000</v>
      </c>
    </row>
    <row r="307" spans="1:9" x14ac:dyDescent="0.3">
      <c r="A307" s="1">
        <v>45916</v>
      </c>
      <c r="B307" t="s">
        <v>42</v>
      </c>
      <c r="C307" t="s">
        <v>24</v>
      </c>
      <c r="D307" t="s">
        <v>43</v>
      </c>
      <c r="E307" t="s">
        <v>26</v>
      </c>
      <c r="F307" t="s">
        <v>33</v>
      </c>
      <c r="G307">
        <v>60</v>
      </c>
      <c r="H307">
        <v>55000</v>
      </c>
      <c r="I307">
        <v>3300000</v>
      </c>
    </row>
    <row r="308" spans="1:9" x14ac:dyDescent="0.3">
      <c r="A308" s="1">
        <v>45930</v>
      </c>
      <c r="B308" t="s">
        <v>64</v>
      </c>
      <c r="C308" t="s">
        <v>53</v>
      </c>
      <c r="D308" t="s">
        <v>65</v>
      </c>
      <c r="E308" t="s">
        <v>21</v>
      </c>
      <c r="F308" t="s">
        <v>29</v>
      </c>
      <c r="G308">
        <v>60</v>
      </c>
      <c r="H308">
        <v>65000</v>
      </c>
      <c r="I308">
        <v>3900000</v>
      </c>
    </row>
    <row r="309" spans="1:9" x14ac:dyDescent="0.3">
      <c r="A309" s="1">
        <v>45970</v>
      </c>
      <c r="B309" t="s">
        <v>94</v>
      </c>
      <c r="C309" t="s">
        <v>24</v>
      </c>
      <c r="D309" t="s">
        <v>95</v>
      </c>
      <c r="E309" t="s">
        <v>26</v>
      </c>
      <c r="F309" t="s">
        <v>22</v>
      </c>
      <c r="G309">
        <v>60</v>
      </c>
      <c r="H309">
        <v>55000</v>
      </c>
      <c r="I309">
        <v>3300000</v>
      </c>
    </row>
    <row r="310" spans="1:9" x14ac:dyDescent="0.3">
      <c r="A310" s="1">
        <v>46014</v>
      </c>
      <c r="B310" t="s">
        <v>359</v>
      </c>
      <c r="C310" t="s">
        <v>15</v>
      </c>
      <c r="D310" t="s">
        <v>59</v>
      </c>
      <c r="E310" t="s">
        <v>41</v>
      </c>
      <c r="F310" t="s">
        <v>33</v>
      </c>
      <c r="G310">
        <v>60</v>
      </c>
      <c r="H310">
        <v>120000</v>
      </c>
      <c r="I310">
        <v>7200000</v>
      </c>
    </row>
    <row r="311" spans="1:9" x14ac:dyDescent="0.3">
      <c r="A311" s="1">
        <v>45919</v>
      </c>
      <c r="B311" t="s">
        <v>672</v>
      </c>
      <c r="C311" t="s">
        <v>10</v>
      </c>
      <c r="D311" t="s">
        <v>47</v>
      </c>
      <c r="E311" t="s">
        <v>41</v>
      </c>
      <c r="F311" t="s">
        <v>13</v>
      </c>
      <c r="G311">
        <v>60</v>
      </c>
      <c r="H311">
        <v>75000</v>
      </c>
      <c r="I311">
        <v>4500000</v>
      </c>
    </row>
    <row r="312" spans="1:9" x14ac:dyDescent="0.3">
      <c r="A312" s="1">
        <v>45837</v>
      </c>
      <c r="B312" t="s">
        <v>678</v>
      </c>
      <c r="C312" t="s">
        <v>53</v>
      </c>
      <c r="D312" t="s">
        <v>28</v>
      </c>
      <c r="E312" t="s">
        <v>17</v>
      </c>
      <c r="F312" t="s">
        <v>18</v>
      </c>
      <c r="G312">
        <v>60</v>
      </c>
      <c r="H312">
        <v>65000</v>
      </c>
      <c r="I312">
        <v>3900000</v>
      </c>
    </row>
    <row r="313" spans="1:9" x14ac:dyDescent="0.3">
      <c r="A313" s="1">
        <v>45934</v>
      </c>
      <c r="B313" t="s">
        <v>1010</v>
      </c>
      <c r="C313" t="s">
        <v>10</v>
      </c>
      <c r="D313" t="s">
        <v>95</v>
      </c>
      <c r="E313" t="s">
        <v>26</v>
      </c>
      <c r="F313" t="s">
        <v>29</v>
      </c>
      <c r="G313">
        <v>60</v>
      </c>
      <c r="H313">
        <v>75000</v>
      </c>
      <c r="I313">
        <v>4500000</v>
      </c>
    </row>
    <row r="314" spans="1:9" x14ac:dyDescent="0.3">
      <c r="A314" s="1">
        <v>45695</v>
      </c>
      <c r="B314" t="s">
        <v>1012</v>
      </c>
      <c r="C314" t="s">
        <v>53</v>
      </c>
      <c r="D314" t="s">
        <v>91</v>
      </c>
      <c r="E314" t="s">
        <v>17</v>
      </c>
      <c r="F314" t="s">
        <v>13</v>
      </c>
      <c r="G314">
        <v>60</v>
      </c>
      <c r="H314">
        <v>65000</v>
      </c>
      <c r="I314">
        <v>3900000</v>
      </c>
    </row>
    <row r="315" spans="1:9" x14ac:dyDescent="0.3">
      <c r="A315" s="1">
        <v>45736</v>
      </c>
      <c r="B315" t="s">
        <v>1061</v>
      </c>
      <c r="C315" t="s">
        <v>24</v>
      </c>
      <c r="D315" t="s">
        <v>93</v>
      </c>
      <c r="E315" t="s">
        <v>41</v>
      </c>
      <c r="F315" t="s">
        <v>29</v>
      </c>
      <c r="G315">
        <v>60</v>
      </c>
      <c r="H315">
        <v>55000</v>
      </c>
      <c r="I315">
        <v>3300000</v>
      </c>
    </row>
    <row r="316" spans="1:9" x14ac:dyDescent="0.3">
      <c r="A316" s="1">
        <v>45811</v>
      </c>
      <c r="B316" t="s">
        <v>1091</v>
      </c>
      <c r="C316" t="s">
        <v>24</v>
      </c>
      <c r="D316" t="s">
        <v>201</v>
      </c>
      <c r="E316" t="s">
        <v>21</v>
      </c>
      <c r="F316" t="s">
        <v>13</v>
      </c>
      <c r="G316">
        <v>60</v>
      </c>
      <c r="H316">
        <v>55000</v>
      </c>
      <c r="I316">
        <v>3300000</v>
      </c>
    </row>
    <row r="317" spans="1:9" x14ac:dyDescent="0.3">
      <c r="A317" s="1">
        <v>45691</v>
      </c>
      <c r="B317" t="s">
        <v>1200</v>
      </c>
      <c r="C317" t="s">
        <v>10</v>
      </c>
      <c r="D317" t="s">
        <v>79</v>
      </c>
      <c r="E317" t="s">
        <v>36</v>
      </c>
      <c r="F317" t="s">
        <v>22</v>
      </c>
      <c r="G317">
        <v>60</v>
      </c>
      <c r="H317">
        <v>75000</v>
      </c>
      <c r="I317">
        <v>4500000</v>
      </c>
    </row>
    <row r="318" spans="1:9" x14ac:dyDescent="0.3">
      <c r="A318" s="1">
        <v>45963</v>
      </c>
      <c r="B318" t="s">
        <v>179</v>
      </c>
      <c r="C318" t="s">
        <v>10</v>
      </c>
      <c r="D318" t="s">
        <v>152</v>
      </c>
      <c r="E318" t="s">
        <v>36</v>
      </c>
      <c r="F318" t="s">
        <v>29</v>
      </c>
      <c r="G318">
        <v>61</v>
      </c>
      <c r="H318">
        <v>75000</v>
      </c>
      <c r="I318">
        <v>4575000</v>
      </c>
    </row>
    <row r="319" spans="1:9" x14ac:dyDescent="0.3">
      <c r="A319" s="1">
        <v>46019</v>
      </c>
      <c r="B319" t="s">
        <v>461</v>
      </c>
      <c r="C319" t="s">
        <v>24</v>
      </c>
      <c r="D319" t="s">
        <v>40</v>
      </c>
      <c r="E319" t="s">
        <v>41</v>
      </c>
      <c r="F319" t="s">
        <v>18</v>
      </c>
      <c r="G319">
        <v>61</v>
      </c>
      <c r="H319">
        <v>55000</v>
      </c>
      <c r="I319">
        <v>3355000</v>
      </c>
    </row>
    <row r="320" spans="1:9" x14ac:dyDescent="0.3">
      <c r="A320" s="1">
        <v>45863</v>
      </c>
      <c r="B320" t="s">
        <v>465</v>
      </c>
      <c r="C320" t="s">
        <v>15</v>
      </c>
      <c r="D320" t="s">
        <v>81</v>
      </c>
      <c r="E320" t="s">
        <v>32</v>
      </c>
      <c r="F320" t="s">
        <v>33</v>
      </c>
      <c r="G320">
        <v>61</v>
      </c>
      <c r="H320">
        <v>120000</v>
      </c>
      <c r="I320">
        <v>7320000</v>
      </c>
    </row>
    <row r="321" spans="1:9" x14ac:dyDescent="0.3">
      <c r="A321" s="1">
        <v>46005</v>
      </c>
      <c r="B321" t="s">
        <v>549</v>
      </c>
      <c r="C321" t="s">
        <v>10</v>
      </c>
      <c r="D321" t="s">
        <v>101</v>
      </c>
      <c r="E321" t="s">
        <v>36</v>
      </c>
      <c r="F321" t="s">
        <v>13</v>
      </c>
      <c r="G321">
        <v>61</v>
      </c>
      <c r="H321">
        <v>75000</v>
      </c>
      <c r="I321">
        <v>4575000</v>
      </c>
    </row>
    <row r="322" spans="1:9" x14ac:dyDescent="0.3">
      <c r="A322" s="1">
        <v>46005</v>
      </c>
      <c r="B322" t="s">
        <v>599</v>
      </c>
      <c r="C322" t="s">
        <v>24</v>
      </c>
      <c r="D322" t="s">
        <v>73</v>
      </c>
      <c r="E322" t="s">
        <v>36</v>
      </c>
      <c r="F322" t="s">
        <v>33</v>
      </c>
      <c r="G322">
        <v>61</v>
      </c>
      <c r="H322">
        <v>55000</v>
      </c>
      <c r="I322">
        <v>3355000</v>
      </c>
    </row>
    <row r="323" spans="1:9" x14ac:dyDescent="0.3">
      <c r="A323" s="1">
        <v>45791</v>
      </c>
      <c r="B323" t="s">
        <v>602</v>
      </c>
      <c r="C323" t="s">
        <v>10</v>
      </c>
      <c r="D323" t="s">
        <v>201</v>
      </c>
      <c r="E323" t="s">
        <v>21</v>
      </c>
      <c r="F323" t="s">
        <v>18</v>
      </c>
      <c r="G323">
        <v>61</v>
      </c>
      <c r="H323">
        <v>75000</v>
      </c>
      <c r="I323">
        <v>4575000</v>
      </c>
    </row>
    <row r="324" spans="1:9" x14ac:dyDescent="0.3">
      <c r="A324" s="1">
        <v>45927</v>
      </c>
      <c r="B324" t="s">
        <v>650</v>
      </c>
      <c r="C324" t="s">
        <v>53</v>
      </c>
      <c r="D324" t="s">
        <v>65</v>
      </c>
      <c r="E324" t="s">
        <v>21</v>
      </c>
      <c r="F324" t="s">
        <v>18</v>
      </c>
      <c r="G324">
        <v>61</v>
      </c>
      <c r="H324">
        <v>65000</v>
      </c>
      <c r="I324">
        <v>3965000</v>
      </c>
    </row>
    <row r="325" spans="1:9" x14ac:dyDescent="0.3">
      <c r="A325" s="1">
        <v>45844</v>
      </c>
      <c r="B325" t="s">
        <v>749</v>
      </c>
      <c r="C325" t="s">
        <v>24</v>
      </c>
      <c r="D325" t="s">
        <v>71</v>
      </c>
      <c r="E325" t="s">
        <v>21</v>
      </c>
      <c r="F325" t="s">
        <v>18</v>
      </c>
      <c r="G325">
        <v>61</v>
      </c>
      <c r="H325">
        <v>55000</v>
      </c>
      <c r="I325">
        <v>3355000</v>
      </c>
    </row>
    <row r="326" spans="1:9" x14ac:dyDescent="0.3">
      <c r="A326" s="1">
        <v>45996</v>
      </c>
      <c r="B326" t="s">
        <v>812</v>
      </c>
      <c r="C326" t="s">
        <v>53</v>
      </c>
      <c r="D326" t="s">
        <v>11</v>
      </c>
      <c r="E326" t="s">
        <v>12</v>
      </c>
      <c r="F326" t="s">
        <v>33</v>
      </c>
      <c r="G326">
        <v>61</v>
      </c>
      <c r="H326">
        <v>65000</v>
      </c>
      <c r="I326">
        <v>3965000</v>
      </c>
    </row>
    <row r="327" spans="1:9" x14ac:dyDescent="0.3">
      <c r="A327" s="1">
        <v>45703</v>
      </c>
      <c r="B327" t="s">
        <v>1052</v>
      </c>
      <c r="C327" t="s">
        <v>15</v>
      </c>
      <c r="D327" t="s">
        <v>54</v>
      </c>
      <c r="E327" t="s">
        <v>21</v>
      </c>
      <c r="F327" t="s">
        <v>22</v>
      </c>
      <c r="G327">
        <v>61</v>
      </c>
      <c r="H327">
        <v>120000</v>
      </c>
      <c r="I327">
        <v>7320000</v>
      </c>
    </row>
    <row r="328" spans="1:9" x14ac:dyDescent="0.3">
      <c r="A328" s="1">
        <v>45901</v>
      </c>
      <c r="B328" t="s">
        <v>1171</v>
      </c>
      <c r="C328" t="s">
        <v>15</v>
      </c>
      <c r="D328" t="s">
        <v>101</v>
      </c>
      <c r="E328" t="s">
        <v>36</v>
      </c>
      <c r="F328" t="s">
        <v>18</v>
      </c>
      <c r="G328">
        <v>61</v>
      </c>
      <c r="H328">
        <v>120000</v>
      </c>
      <c r="I328">
        <v>7320000</v>
      </c>
    </row>
    <row r="329" spans="1:9" x14ac:dyDescent="0.3">
      <c r="A329" s="1">
        <v>45974</v>
      </c>
      <c r="B329" t="s">
        <v>178</v>
      </c>
      <c r="C329" t="s">
        <v>24</v>
      </c>
      <c r="D329" t="s">
        <v>25</v>
      </c>
      <c r="E329" t="s">
        <v>26</v>
      </c>
      <c r="F329" t="s">
        <v>29</v>
      </c>
      <c r="G329">
        <v>62</v>
      </c>
      <c r="H329">
        <v>55000</v>
      </c>
      <c r="I329">
        <v>3410000</v>
      </c>
    </row>
    <row r="330" spans="1:9" x14ac:dyDescent="0.3">
      <c r="A330" s="1">
        <v>46009</v>
      </c>
      <c r="B330" t="s">
        <v>277</v>
      </c>
      <c r="C330" t="s">
        <v>10</v>
      </c>
      <c r="D330" t="s">
        <v>43</v>
      </c>
      <c r="E330" t="s">
        <v>26</v>
      </c>
      <c r="F330" t="s">
        <v>18</v>
      </c>
      <c r="G330">
        <v>62</v>
      </c>
      <c r="H330">
        <v>75000</v>
      </c>
      <c r="I330">
        <v>4650000</v>
      </c>
    </row>
    <row r="331" spans="1:9" x14ac:dyDescent="0.3">
      <c r="A331" s="1">
        <v>45819</v>
      </c>
      <c r="B331" t="s">
        <v>346</v>
      </c>
      <c r="C331" t="s">
        <v>15</v>
      </c>
      <c r="D331" t="s">
        <v>63</v>
      </c>
      <c r="E331" t="s">
        <v>32</v>
      </c>
      <c r="F331" t="s">
        <v>22</v>
      </c>
      <c r="G331">
        <v>62</v>
      </c>
      <c r="H331">
        <v>120000</v>
      </c>
      <c r="I331">
        <v>7440000</v>
      </c>
    </row>
    <row r="332" spans="1:9" x14ac:dyDescent="0.3">
      <c r="A332" s="1">
        <v>45959</v>
      </c>
      <c r="B332" t="s">
        <v>439</v>
      </c>
      <c r="C332" t="s">
        <v>24</v>
      </c>
      <c r="D332" t="s">
        <v>91</v>
      </c>
      <c r="E332" t="s">
        <v>17</v>
      </c>
      <c r="F332" t="s">
        <v>33</v>
      </c>
      <c r="G332">
        <v>62</v>
      </c>
      <c r="H332">
        <v>55000</v>
      </c>
      <c r="I332">
        <v>3410000</v>
      </c>
    </row>
    <row r="333" spans="1:9" x14ac:dyDescent="0.3">
      <c r="A333" s="1">
        <v>45759</v>
      </c>
      <c r="B333" t="s">
        <v>807</v>
      </c>
      <c r="C333" t="s">
        <v>53</v>
      </c>
      <c r="D333" t="s">
        <v>71</v>
      </c>
      <c r="E333" t="s">
        <v>21</v>
      </c>
      <c r="F333" t="s">
        <v>18</v>
      </c>
      <c r="G333">
        <v>62</v>
      </c>
      <c r="H333">
        <v>65000</v>
      </c>
      <c r="I333">
        <v>4030000</v>
      </c>
    </row>
    <row r="334" spans="1:9" x14ac:dyDescent="0.3">
      <c r="A334" s="1">
        <v>45682</v>
      </c>
      <c r="B334" t="s">
        <v>1152</v>
      </c>
      <c r="C334" t="s">
        <v>10</v>
      </c>
      <c r="D334" t="s">
        <v>73</v>
      </c>
      <c r="E334" t="s">
        <v>36</v>
      </c>
      <c r="F334" t="s">
        <v>33</v>
      </c>
      <c r="G334">
        <v>62</v>
      </c>
      <c r="H334">
        <v>75000</v>
      </c>
      <c r="I334">
        <v>4650000</v>
      </c>
    </row>
    <row r="335" spans="1:9" x14ac:dyDescent="0.3">
      <c r="A335" s="1">
        <v>45743</v>
      </c>
      <c r="B335" t="s">
        <v>1235</v>
      </c>
      <c r="C335" t="s">
        <v>10</v>
      </c>
      <c r="D335" t="s">
        <v>133</v>
      </c>
      <c r="E335" t="s">
        <v>17</v>
      </c>
      <c r="F335" t="s">
        <v>18</v>
      </c>
      <c r="G335">
        <v>62</v>
      </c>
      <c r="H335">
        <v>75000</v>
      </c>
      <c r="I335">
        <v>4650000</v>
      </c>
    </row>
    <row r="336" spans="1:9" x14ac:dyDescent="0.3">
      <c r="A336" s="1">
        <v>46006</v>
      </c>
      <c r="B336" t="s">
        <v>139</v>
      </c>
      <c r="C336" t="s">
        <v>53</v>
      </c>
      <c r="D336" t="s">
        <v>81</v>
      </c>
      <c r="E336" t="s">
        <v>32</v>
      </c>
      <c r="F336" t="s">
        <v>13</v>
      </c>
      <c r="G336">
        <v>63</v>
      </c>
      <c r="H336">
        <v>65000</v>
      </c>
      <c r="I336">
        <v>4095000</v>
      </c>
    </row>
    <row r="337" spans="1:9" x14ac:dyDescent="0.3">
      <c r="A337" s="1">
        <v>45902</v>
      </c>
      <c r="B337" t="s">
        <v>222</v>
      </c>
      <c r="C337" t="s">
        <v>53</v>
      </c>
      <c r="D337" t="s">
        <v>121</v>
      </c>
      <c r="E337" t="s">
        <v>32</v>
      </c>
      <c r="F337" t="s">
        <v>18</v>
      </c>
      <c r="G337">
        <v>63</v>
      </c>
      <c r="H337">
        <v>65000</v>
      </c>
      <c r="I337">
        <v>4095000</v>
      </c>
    </row>
    <row r="338" spans="1:9" x14ac:dyDescent="0.3">
      <c r="A338" s="1">
        <v>45676</v>
      </c>
      <c r="B338" t="s">
        <v>485</v>
      </c>
      <c r="C338" t="s">
        <v>24</v>
      </c>
      <c r="D338" t="s">
        <v>51</v>
      </c>
      <c r="E338" t="s">
        <v>36</v>
      </c>
      <c r="F338" t="s">
        <v>18</v>
      </c>
      <c r="G338">
        <v>63</v>
      </c>
      <c r="H338">
        <v>55000</v>
      </c>
      <c r="I338">
        <v>3465000</v>
      </c>
    </row>
    <row r="339" spans="1:9" x14ac:dyDescent="0.3">
      <c r="A339" s="1">
        <v>45858</v>
      </c>
      <c r="B339" t="s">
        <v>525</v>
      </c>
      <c r="C339" t="s">
        <v>53</v>
      </c>
      <c r="D339" t="s">
        <v>73</v>
      </c>
      <c r="E339" t="s">
        <v>36</v>
      </c>
      <c r="F339" t="s">
        <v>29</v>
      </c>
      <c r="G339">
        <v>63</v>
      </c>
      <c r="H339">
        <v>65000</v>
      </c>
      <c r="I339">
        <v>4095000</v>
      </c>
    </row>
    <row r="340" spans="1:9" x14ac:dyDescent="0.3">
      <c r="A340" s="1">
        <v>45661</v>
      </c>
      <c r="B340" t="s">
        <v>668</v>
      </c>
      <c r="C340" t="s">
        <v>53</v>
      </c>
      <c r="D340" t="s">
        <v>136</v>
      </c>
      <c r="E340" t="s">
        <v>36</v>
      </c>
      <c r="F340" t="s">
        <v>22</v>
      </c>
      <c r="G340">
        <v>63</v>
      </c>
      <c r="H340">
        <v>65000</v>
      </c>
      <c r="I340">
        <v>4095000</v>
      </c>
    </row>
    <row r="341" spans="1:9" x14ac:dyDescent="0.3">
      <c r="A341" s="1">
        <v>45837</v>
      </c>
      <c r="B341" t="s">
        <v>795</v>
      </c>
      <c r="C341" t="s">
        <v>24</v>
      </c>
      <c r="D341" t="s">
        <v>79</v>
      </c>
      <c r="E341" t="s">
        <v>36</v>
      </c>
      <c r="F341" t="s">
        <v>18</v>
      </c>
      <c r="G341">
        <v>63</v>
      </c>
      <c r="H341">
        <v>55000</v>
      </c>
      <c r="I341">
        <v>3465000</v>
      </c>
    </row>
    <row r="342" spans="1:9" x14ac:dyDescent="0.3">
      <c r="A342" s="1">
        <v>45849</v>
      </c>
      <c r="B342" t="s">
        <v>995</v>
      </c>
      <c r="C342" t="s">
        <v>24</v>
      </c>
      <c r="D342" t="s">
        <v>65</v>
      </c>
      <c r="E342" t="s">
        <v>21</v>
      </c>
      <c r="F342" t="s">
        <v>22</v>
      </c>
      <c r="G342">
        <v>63</v>
      </c>
      <c r="H342">
        <v>55000</v>
      </c>
      <c r="I342">
        <v>3465000</v>
      </c>
    </row>
    <row r="343" spans="1:9" x14ac:dyDescent="0.3">
      <c r="A343" s="1">
        <v>45671</v>
      </c>
      <c r="B343" t="s">
        <v>84</v>
      </c>
      <c r="C343" t="s">
        <v>10</v>
      </c>
      <c r="D343" t="s">
        <v>71</v>
      </c>
      <c r="E343" t="s">
        <v>21</v>
      </c>
      <c r="F343" t="s">
        <v>18</v>
      </c>
      <c r="G343">
        <v>64</v>
      </c>
      <c r="H343">
        <v>75000</v>
      </c>
      <c r="I343">
        <v>4800000</v>
      </c>
    </row>
    <row r="344" spans="1:9" x14ac:dyDescent="0.3">
      <c r="A344" s="1">
        <v>45894</v>
      </c>
      <c r="B344" t="s">
        <v>165</v>
      </c>
      <c r="C344" t="s">
        <v>53</v>
      </c>
      <c r="D344" t="s">
        <v>86</v>
      </c>
      <c r="E344" t="s">
        <v>12</v>
      </c>
      <c r="F344" t="s">
        <v>29</v>
      </c>
      <c r="G344">
        <v>64</v>
      </c>
      <c r="H344">
        <v>65000</v>
      </c>
      <c r="I344">
        <v>4160000</v>
      </c>
    </row>
    <row r="345" spans="1:9" x14ac:dyDescent="0.3">
      <c r="A345" s="1">
        <v>45932</v>
      </c>
      <c r="B345" t="s">
        <v>235</v>
      </c>
      <c r="C345" t="s">
        <v>15</v>
      </c>
      <c r="D345" t="s">
        <v>16</v>
      </c>
      <c r="E345" t="s">
        <v>17</v>
      </c>
      <c r="F345" t="s">
        <v>22</v>
      </c>
      <c r="G345">
        <v>64</v>
      </c>
      <c r="H345">
        <v>120000</v>
      </c>
      <c r="I345">
        <v>7680000</v>
      </c>
    </row>
    <row r="346" spans="1:9" x14ac:dyDescent="0.3">
      <c r="A346" s="1">
        <v>45768</v>
      </c>
      <c r="B346" t="s">
        <v>292</v>
      </c>
      <c r="C346" t="s">
        <v>15</v>
      </c>
      <c r="D346" t="s">
        <v>121</v>
      </c>
      <c r="E346" t="s">
        <v>32</v>
      </c>
      <c r="F346" t="s">
        <v>13</v>
      </c>
      <c r="G346">
        <v>64</v>
      </c>
      <c r="H346">
        <v>120000</v>
      </c>
      <c r="I346">
        <v>7680000</v>
      </c>
    </row>
    <row r="347" spans="1:9" x14ac:dyDescent="0.3">
      <c r="A347" s="1">
        <v>45993</v>
      </c>
      <c r="B347" t="s">
        <v>467</v>
      </c>
      <c r="C347" t="s">
        <v>24</v>
      </c>
      <c r="D347" t="s">
        <v>136</v>
      </c>
      <c r="E347" t="s">
        <v>36</v>
      </c>
      <c r="F347" t="s">
        <v>13</v>
      </c>
      <c r="G347">
        <v>64</v>
      </c>
      <c r="H347">
        <v>55000</v>
      </c>
      <c r="I347">
        <v>3520000</v>
      </c>
    </row>
    <row r="348" spans="1:9" x14ac:dyDescent="0.3">
      <c r="A348" s="1">
        <v>45881</v>
      </c>
      <c r="B348" t="s">
        <v>490</v>
      </c>
      <c r="C348" t="s">
        <v>15</v>
      </c>
      <c r="D348" t="s">
        <v>136</v>
      </c>
      <c r="E348" t="s">
        <v>36</v>
      </c>
      <c r="F348" t="s">
        <v>22</v>
      </c>
      <c r="G348">
        <v>64</v>
      </c>
      <c r="H348">
        <v>120000</v>
      </c>
      <c r="I348">
        <v>7680000</v>
      </c>
    </row>
    <row r="349" spans="1:9" x14ac:dyDescent="0.3">
      <c r="A349" s="1">
        <v>46002</v>
      </c>
      <c r="B349" t="s">
        <v>738</v>
      </c>
      <c r="C349" t="s">
        <v>24</v>
      </c>
      <c r="D349" t="s">
        <v>51</v>
      </c>
      <c r="E349" t="s">
        <v>36</v>
      </c>
      <c r="F349" t="s">
        <v>22</v>
      </c>
      <c r="G349">
        <v>64</v>
      </c>
      <c r="H349">
        <v>55000</v>
      </c>
      <c r="I349">
        <v>3520000</v>
      </c>
    </row>
    <row r="350" spans="1:9" x14ac:dyDescent="0.3">
      <c r="A350" s="1">
        <v>45668</v>
      </c>
      <c r="B350" t="s">
        <v>802</v>
      </c>
      <c r="C350" t="s">
        <v>10</v>
      </c>
      <c r="D350" t="s">
        <v>93</v>
      </c>
      <c r="E350" t="s">
        <v>41</v>
      </c>
      <c r="F350" t="s">
        <v>18</v>
      </c>
      <c r="G350">
        <v>64</v>
      </c>
      <c r="H350">
        <v>75000</v>
      </c>
      <c r="I350">
        <v>4800000</v>
      </c>
    </row>
    <row r="351" spans="1:9" x14ac:dyDescent="0.3">
      <c r="A351" s="1">
        <v>45933</v>
      </c>
      <c r="B351" t="s">
        <v>112</v>
      </c>
      <c r="C351" t="s">
        <v>24</v>
      </c>
      <c r="D351" t="s">
        <v>73</v>
      </c>
      <c r="E351" t="s">
        <v>36</v>
      </c>
      <c r="F351" t="s">
        <v>22</v>
      </c>
      <c r="G351">
        <v>65</v>
      </c>
      <c r="H351">
        <v>55000</v>
      </c>
      <c r="I351">
        <v>3575000</v>
      </c>
    </row>
    <row r="352" spans="1:9" x14ac:dyDescent="0.3">
      <c r="A352" s="1">
        <v>45839</v>
      </c>
      <c r="B352" t="s">
        <v>195</v>
      </c>
      <c r="C352" t="s">
        <v>10</v>
      </c>
      <c r="D352" t="s">
        <v>121</v>
      </c>
      <c r="E352" t="s">
        <v>32</v>
      </c>
      <c r="F352" t="s">
        <v>22</v>
      </c>
      <c r="G352">
        <v>65</v>
      </c>
      <c r="H352">
        <v>75000</v>
      </c>
      <c r="I352">
        <v>4875000</v>
      </c>
    </row>
    <row r="353" spans="1:9" x14ac:dyDescent="0.3">
      <c r="A353" s="1">
        <v>45845</v>
      </c>
      <c r="B353" t="s">
        <v>273</v>
      </c>
      <c r="C353" t="s">
        <v>10</v>
      </c>
      <c r="D353" t="s">
        <v>152</v>
      </c>
      <c r="E353" t="s">
        <v>36</v>
      </c>
      <c r="F353" t="s">
        <v>22</v>
      </c>
      <c r="G353">
        <v>65</v>
      </c>
      <c r="H353">
        <v>75000</v>
      </c>
      <c r="I353">
        <v>4875000</v>
      </c>
    </row>
    <row r="354" spans="1:9" x14ac:dyDescent="0.3">
      <c r="A354" s="1">
        <v>45806</v>
      </c>
      <c r="B354" t="s">
        <v>542</v>
      </c>
      <c r="C354" t="s">
        <v>24</v>
      </c>
      <c r="D354" t="s">
        <v>68</v>
      </c>
      <c r="E354" t="s">
        <v>21</v>
      </c>
      <c r="F354" t="s">
        <v>33</v>
      </c>
      <c r="G354">
        <v>65</v>
      </c>
      <c r="H354">
        <v>55000</v>
      </c>
      <c r="I354">
        <v>3575000</v>
      </c>
    </row>
    <row r="355" spans="1:9" x14ac:dyDescent="0.3">
      <c r="A355" s="1">
        <v>45830</v>
      </c>
      <c r="B355" t="s">
        <v>653</v>
      </c>
      <c r="C355" t="s">
        <v>15</v>
      </c>
      <c r="D355" t="s">
        <v>133</v>
      </c>
      <c r="E355" t="s">
        <v>17</v>
      </c>
      <c r="F355" t="s">
        <v>29</v>
      </c>
      <c r="G355">
        <v>65</v>
      </c>
      <c r="H355">
        <v>120000</v>
      </c>
      <c r="I355">
        <v>7800000</v>
      </c>
    </row>
    <row r="356" spans="1:9" x14ac:dyDescent="0.3">
      <c r="A356" s="1">
        <v>45757</v>
      </c>
      <c r="B356" t="s">
        <v>1164</v>
      </c>
      <c r="C356" t="s">
        <v>10</v>
      </c>
      <c r="D356" t="s">
        <v>269</v>
      </c>
      <c r="E356" t="s">
        <v>32</v>
      </c>
      <c r="F356" t="s">
        <v>22</v>
      </c>
      <c r="G356">
        <v>65</v>
      </c>
      <c r="H356">
        <v>75000</v>
      </c>
      <c r="I356">
        <v>4875000</v>
      </c>
    </row>
    <row r="357" spans="1:9" x14ac:dyDescent="0.3">
      <c r="A357" s="1">
        <v>45917</v>
      </c>
      <c r="B357" t="s">
        <v>1226</v>
      </c>
      <c r="C357" t="s">
        <v>15</v>
      </c>
      <c r="D357" t="s">
        <v>47</v>
      </c>
      <c r="E357" t="s">
        <v>41</v>
      </c>
      <c r="F357" t="s">
        <v>13</v>
      </c>
      <c r="G357">
        <v>65</v>
      </c>
      <c r="H357">
        <v>120000</v>
      </c>
      <c r="I357">
        <v>7800000</v>
      </c>
    </row>
    <row r="358" spans="1:9" x14ac:dyDescent="0.3">
      <c r="A358" s="1">
        <v>45700</v>
      </c>
      <c r="B358" t="s">
        <v>1238</v>
      </c>
      <c r="C358" t="s">
        <v>24</v>
      </c>
      <c r="D358" t="s">
        <v>47</v>
      </c>
      <c r="E358" t="s">
        <v>41</v>
      </c>
      <c r="F358" t="s">
        <v>13</v>
      </c>
      <c r="G358">
        <v>65</v>
      </c>
      <c r="H358">
        <v>55000</v>
      </c>
      <c r="I358">
        <v>3575000</v>
      </c>
    </row>
    <row r="359" spans="1:9" x14ac:dyDescent="0.3">
      <c r="A359" s="1">
        <v>45818</v>
      </c>
      <c r="B359" t="s">
        <v>366</v>
      </c>
      <c r="C359" t="s">
        <v>10</v>
      </c>
      <c r="D359" t="s">
        <v>124</v>
      </c>
      <c r="E359" t="s">
        <v>26</v>
      </c>
      <c r="F359" t="s">
        <v>29</v>
      </c>
      <c r="G359">
        <v>66</v>
      </c>
      <c r="H359">
        <v>75000</v>
      </c>
      <c r="I359">
        <v>4950000</v>
      </c>
    </row>
    <row r="360" spans="1:9" x14ac:dyDescent="0.3">
      <c r="A360" s="1">
        <v>46007</v>
      </c>
      <c r="B360" t="s">
        <v>1120</v>
      </c>
      <c r="C360" t="s">
        <v>10</v>
      </c>
      <c r="D360" t="s">
        <v>25</v>
      </c>
      <c r="E360" t="s">
        <v>26</v>
      </c>
      <c r="F360" t="s">
        <v>18</v>
      </c>
      <c r="G360">
        <v>66</v>
      </c>
      <c r="H360">
        <v>75000</v>
      </c>
      <c r="I360">
        <v>4950000</v>
      </c>
    </row>
    <row r="361" spans="1:9" x14ac:dyDescent="0.3">
      <c r="A361" s="1">
        <v>45868</v>
      </c>
      <c r="B361" t="s">
        <v>1140</v>
      </c>
      <c r="C361" t="s">
        <v>15</v>
      </c>
      <c r="D361" t="s">
        <v>31</v>
      </c>
      <c r="E361" t="s">
        <v>32</v>
      </c>
      <c r="F361" t="s">
        <v>18</v>
      </c>
      <c r="G361">
        <v>66</v>
      </c>
      <c r="H361">
        <v>120000</v>
      </c>
      <c r="I361">
        <v>7920000</v>
      </c>
    </row>
    <row r="362" spans="1:9" x14ac:dyDescent="0.3">
      <c r="A362" s="1">
        <v>45779</v>
      </c>
      <c r="B362" t="s">
        <v>77</v>
      </c>
      <c r="C362" t="s">
        <v>10</v>
      </c>
      <c r="D362" t="s">
        <v>68</v>
      </c>
      <c r="E362" t="s">
        <v>21</v>
      </c>
      <c r="F362" t="s">
        <v>18</v>
      </c>
      <c r="G362">
        <v>67</v>
      </c>
      <c r="H362">
        <v>75000</v>
      </c>
      <c r="I362">
        <v>5025000</v>
      </c>
    </row>
    <row r="363" spans="1:9" x14ac:dyDescent="0.3">
      <c r="A363" s="1">
        <v>45702</v>
      </c>
      <c r="B363" t="s">
        <v>354</v>
      </c>
      <c r="C363" t="s">
        <v>15</v>
      </c>
      <c r="D363" t="s">
        <v>191</v>
      </c>
      <c r="E363" t="s">
        <v>57</v>
      </c>
      <c r="F363" t="s">
        <v>13</v>
      </c>
      <c r="G363">
        <v>67</v>
      </c>
      <c r="H363">
        <v>120000</v>
      </c>
      <c r="I363">
        <v>8040000</v>
      </c>
    </row>
    <row r="364" spans="1:9" x14ac:dyDescent="0.3">
      <c r="A364" s="1">
        <v>45706</v>
      </c>
      <c r="B364" t="s">
        <v>558</v>
      </c>
      <c r="C364" t="s">
        <v>15</v>
      </c>
      <c r="D364" t="s">
        <v>104</v>
      </c>
      <c r="E364" t="s">
        <v>26</v>
      </c>
      <c r="F364" t="s">
        <v>29</v>
      </c>
      <c r="G364">
        <v>67</v>
      </c>
      <c r="H364">
        <v>120000</v>
      </c>
      <c r="I364">
        <v>8040000</v>
      </c>
    </row>
    <row r="365" spans="1:9" x14ac:dyDescent="0.3">
      <c r="A365" s="1">
        <v>45899</v>
      </c>
      <c r="B365" t="s">
        <v>614</v>
      </c>
      <c r="C365" t="s">
        <v>15</v>
      </c>
      <c r="D365" t="s">
        <v>91</v>
      </c>
      <c r="E365" t="s">
        <v>17</v>
      </c>
      <c r="F365" t="s">
        <v>18</v>
      </c>
      <c r="G365">
        <v>67</v>
      </c>
      <c r="H365">
        <v>120000</v>
      </c>
      <c r="I365">
        <v>8040000</v>
      </c>
    </row>
    <row r="366" spans="1:9" x14ac:dyDescent="0.3">
      <c r="A366" s="1">
        <v>45994</v>
      </c>
      <c r="B366" t="s">
        <v>638</v>
      </c>
      <c r="C366" t="s">
        <v>53</v>
      </c>
      <c r="D366" t="s">
        <v>51</v>
      </c>
      <c r="E366" t="s">
        <v>36</v>
      </c>
      <c r="F366" t="s">
        <v>33</v>
      </c>
      <c r="G366">
        <v>67</v>
      </c>
      <c r="H366">
        <v>65000</v>
      </c>
      <c r="I366">
        <v>4355000</v>
      </c>
    </row>
    <row r="367" spans="1:9" x14ac:dyDescent="0.3">
      <c r="A367" s="1">
        <v>45667</v>
      </c>
      <c r="B367" t="s">
        <v>656</v>
      </c>
      <c r="C367" t="s">
        <v>24</v>
      </c>
      <c r="D367" t="s">
        <v>43</v>
      </c>
      <c r="E367" t="s">
        <v>26</v>
      </c>
      <c r="F367" t="s">
        <v>33</v>
      </c>
      <c r="G367">
        <v>67</v>
      </c>
      <c r="H367">
        <v>55000</v>
      </c>
      <c r="I367">
        <v>3685000</v>
      </c>
    </row>
    <row r="368" spans="1:9" x14ac:dyDescent="0.3">
      <c r="A368" s="1">
        <v>45894</v>
      </c>
      <c r="B368" t="s">
        <v>1185</v>
      </c>
      <c r="C368" t="s">
        <v>24</v>
      </c>
      <c r="D368" t="s">
        <v>95</v>
      </c>
      <c r="E368" t="s">
        <v>26</v>
      </c>
      <c r="F368" t="s">
        <v>18</v>
      </c>
      <c r="G368">
        <v>67</v>
      </c>
      <c r="H368">
        <v>55000</v>
      </c>
      <c r="I368">
        <v>3685000</v>
      </c>
    </row>
    <row r="369" spans="1:9" x14ac:dyDescent="0.3">
      <c r="A369" s="1">
        <v>45841</v>
      </c>
      <c r="B369" t="s">
        <v>190</v>
      </c>
      <c r="C369" t="s">
        <v>53</v>
      </c>
      <c r="D369" t="s">
        <v>191</v>
      </c>
      <c r="E369" t="s">
        <v>57</v>
      </c>
      <c r="F369" t="s">
        <v>29</v>
      </c>
      <c r="G369">
        <v>68</v>
      </c>
      <c r="H369">
        <v>65000</v>
      </c>
      <c r="I369">
        <v>4420000</v>
      </c>
    </row>
    <row r="370" spans="1:9" x14ac:dyDescent="0.3">
      <c r="A370" s="1">
        <v>45779</v>
      </c>
      <c r="B370" t="s">
        <v>196</v>
      </c>
      <c r="C370" t="s">
        <v>15</v>
      </c>
      <c r="D370" t="s">
        <v>79</v>
      </c>
      <c r="E370" t="s">
        <v>36</v>
      </c>
      <c r="F370" t="s">
        <v>22</v>
      </c>
      <c r="G370">
        <v>68</v>
      </c>
      <c r="H370">
        <v>120000</v>
      </c>
      <c r="I370">
        <v>8160000</v>
      </c>
    </row>
    <row r="371" spans="1:9" x14ac:dyDescent="0.3">
      <c r="A371" s="1">
        <v>46017</v>
      </c>
      <c r="B371" t="s">
        <v>311</v>
      </c>
      <c r="C371" t="s">
        <v>10</v>
      </c>
      <c r="D371" t="s">
        <v>110</v>
      </c>
      <c r="E371" t="s">
        <v>32</v>
      </c>
      <c r="F371" t="s">
        <v>22</v>
      </c>
      <c r="G371">
        <v>68</v>
      </c>
      <c r="H371">
        <v>75000</v>
      </c>
      <c r="I371">
        <v>5100000</v>
      </c>
    </row>
    <row r="372" spans="1:9" x14ac:dyDescent="0.3">
      <c r="A372" s="1">
        <v>45824</v>
      </c>
      <c r="B372" t="s">
        <v>334</v>
      </c>
      <c r="C372" t="s">
        <v>53</v>
      </c>
      <c r="D372" t="s">
        <v>73</v>
      </c>
      <c r="E372" t="s">
        <v>36</v>
      </c>
      <c r="F372" t="s">
        <v>18</v>
      </c>
      <c r="G372">
        <v>68</v>
      </c>
      <c r="H372">
        <v>65000</v>
      </c>
      <c r="I372">
        <v>4420000</v>
      </c>
    </row>
    <row r="373" spans="1:9" x14ac:dyDescent="0.3">
      <c r="A373" s="1">
        <v>45980</v>
      </c>
      <c r="B373" t="s">
        <v>464</v>
      </c>
      <c r="C373" t="s">
        <v>15</v>
      </c>
      <c r="D373" t="s">
        <v>28</v>
      </c>
      <c r="E373" t="s">
        <v>17</v>
      </c>
      <c r="F373" t="s">
        <v>13</v>
      </c>
      <c r="G373">
        <v>68</v>
      </c>
      <c r="H373">
        <v>120000</v>
      </c>
      <c r="I373">
        <v>8160000</v>
      </c>
    </row>
    <row r="374" spans="1:9" x14ac:dyDescent="0.3">
      <c r="A374" s="1">
        <v>45812</v>
      </c>
      <c r="B374" t="s">
        <v>506</v>
      </c>
      <c r="C374" t="s">
        <v>10</v>
      </c>
      <c r="D374" t="s">
        <v>81</v>
      </c>
      <c r="E374" t="s">
        <v>32</v>
      </c>
      <c r="F374" t="s">
        <v>22</v>
      </c>
      <c r="G374">
        <v>68</v>
      </c>
      <c r="H374">
        <v>75000</v>
      </c>
      <c r="I374">
        <v>5100000</v>
      </c>
    </row>
    <row r="375" spans="1:9" x14ac:dyDescent="0.3">
      <c r="A375" s="1">
        <v>45889</v>
      </c>
      <c r="B375" t="s">
        <v>813</v>
      </c>
      <c r="C375" t="s">
        <v>53</v>
      </c>
      <c r="D375" t="s">
        <v>20</v>
      </c>
      <c r="E375" t="s">
        <v>21</v>
      </c>
      <c r="F375" t="s">
        <v>22</v>
      </c>
      <c r="G375">
        <v>68</v>
      </c>
      <c r="H375">
        <v>65000</v>
      </c>
      <c r="I375">
        <v>4420000</v>
      </c>
    </row>
    <row r="376" spans="1:9" x14ac:dyDescent="0.3">
      <c r="A376" s="1">
        <v>45822</v>
      </c>
      <c r="B376" t="s">
        <v>984</v>
      </c>
      <c r="C376" t="s">
        <v>15</v>
      </c>
      <c r="D376" t="s">
        <v>121</v>
      </c>
      <c r="E376" t="s">
        <v>32</v>
      </c>
      <c r="F376" t="s">
        <v>29</v>
      </c>
      <c r="G376">
        <v>68</v>
      </c>
      <c r="H376">
        <v>120000</v>
      </c>
      <c r="I376">
        <v>8160000</v>
      </c>
    </row>
    <row r="377" spans="1:9" x14ac:dyDescent="0.3">
      <c r="A377" s="1">
        <v>45957</v>
      </c>
      <c r="B377" t="s">
        <v>1151</v>
      </c>
      <c r="C377" t="s">
        <v>15</v>
      </c>
      <c r="D377" t="s">
        <v>28</v>
      </c>
      <c r="E377" t="s">
        <v>17</v>
      </c>
      <c r="F377" t="s">
        <v>33</v>
      </c>
      <c r="G377">
        <v>68</v>
      </c>
      <c r="H377">
        <v>120000</v>
      </c>
      <c r="I377">
        <v>8160000</v>
      </c>
    </row>
    <row r="378" spans="1:9" x14ac:dyDescent="0.3">
      <c r="A378" s="1">
        <v>45675</v>
      </c>
      <c r="B378" t="s">
        <v>105</v>
      </c>
      <c r="C378" t="s">
        <v>53</v>
      </c>
      <c r="D378" t="s">
        <v>73</v>
      </c>
      <c r="E378" t="s">
        <v>36</v>
      </c>
      <c r="F378" t="s">
        <v>29</v>
      </c>
      <c r="G378">
        <v>69</v>
      </c>
      <c r="H378">
        <v>65000</v>
      </c>
      <c r="I378">
        <v>4485000</v>
      </c>
    </row>
    <row r="379" spans="1:9" x14ac:dyDescent="0.3">
      <c r="A379" s="1">
        <v>45950</v>
      </c>
      <c r="B379" t="s">
        <v>188</v>
      </c>
      <c r="C379" t="s">
        <v>15</v>
      </c>
      <c r="D379" t="s">
        <v>136</v>
      </c>
      <c r="E379" t="s">
        <v>36</v>
      </c>
      <c r="F379" t="s">
        <v>33</v>
      </c>
      <c r="G379">
        <v>69</v>
      </c>
      <c r="H379">
        <v>120000</v>
      </c>
      <c r="I379">
        <v>8280000</v>
      </c>
    </row>
    <row r="380" spans="1:9" x14ac:dyDescent="0.3">
      <c r="A380" s="1">
        <v>45725</v>
      </c>
      <c r="B380" t="s">
        <v>214</v>
      </c>
      <c r="C380" t="s">
        <v>10</v>
      </c>
      <c r="D380" t="s">
        <v>191</v>
      </c>
      <c r="E380" t="s">
        <v>57</v>
      </c>
      <c r="F380" t="s">
        <v>33</v>
      </c>
      <c r="G380">
        <v>69</v>
      </c>
      <c r="H380">
        <v>75000</v>
      </c>
      <c r="I380">
        <v>5175000</v>
      </c>
    </row>
    <row r="381" spans="1:9" x14ac:dyDescent="0.3">
      <c r="A381" s="1">
        <v>45896</v>
      </c>
      <c r="B381" t="s">
        <v>577</v>
      </c>
      <c r="C381" t="s">
        <v>10</v>
      </c>
      <c r="D381" t="s">
        <v>152</v>
      </c>
      <c r="E381" t="s">
        <v>36</v>
      </c>
      <c r="F381" t="s">
        <v>13</v>
      </c>
      <c r="G381">
        <v>69</v>
      </c>
      <c r="H381">
        <v>75000</v>
      </c>
      <c r="I381">
        <v>5175000</v>
      </c>
    </row>
    <row r="382" spans="1:9" x14ac:dyDescent="0.3">
      <c r="A382" s="1">
        <v>45868</v>
      </c>
      <c r="B382" t="s">
        <v>981</v>
      </c>
      <c r="C382" t="s">
        <v>10</v>
      </c>
      <c r="D382" t="s">
        <v>47</v>
      </c>
      <c r="E382" t="s">
        <v>41</v>
      </c>
      <c r="F382" t="s">
        <v>13</v>
      </c>
      <c r="G382">
        <v>69</v>
      </c>
      <c r="H382">
        <v>75000</v>
      </c>
      <c r="I382">
        <v>5175000</v>
      </c>
    </row>
    <row r="383" spans="1:9" x14ac:dyDescent="0.3">
      <c r="A383" s="1">
        <v>45714</v>
      </c>
      <c r="B383" t="s">
        <v>1275</v>
      </c>
      <c r="C383" t="s">
        <v>15</v>
      </c>
      <c r="D383" t="s">
        <v>81</v>
      </c>
      <c r="E383" t="s">
        <v>32</v>
      </c>
      <c r="F383" t="s">
        <v>22</v>
      </c>
      <c r="G383">
        <v>69</v>
      </c>
      <c r="H383">
        <v>120000</v>
      </c>
      <c r="I383">
        <v>8280000</v>
      </c>
    </row>
    <row r="384" spans="1:9" x14ac:dyDescent="0.3">
      <c r="A384" s="1">
        <v>45877</v>
      </c>
      <c r="B384" t="s">
        <v>102</v>
      </c>
      <c r="C384" t="s">
        <v>15</v>
      </c>
      <c r="D384" t="s">
        <v>54</v>
      </c>
      <c r="E384" t="s">
        <v>21</v>
      </c>
      <c r="F384" t="s">
        <v>29</v>
      </c>
      <c r="G384">
        <v>70</v>
      </c>
      <c r="H384">
        <v>120000</v>
      </c>
      <c r="I384">
        <v>8400000</v>
      </c>
    </row>
    <row r="385" spans="1:9" x14ac:dyDescent="0.3">
      <c r="A385" s="1">
        <v>45881</v>
      </c>
      <c r="B385" t="s">
        <v>108</v>
      </c>
      <c r="C385" t="s">
        <v>53</v>
      </c>
      <c r="D385" t="s">
        <v>99</v>
      </c>
      <c r="E385" t="s">
        <v>32</v>
      </c>
      <c r="F385" t="s">
        <v>22</v>
      </c>
      <c r="G385">
        <v>70</v>
      </c>
      <c r="H385">
        <v>65000</v>
      </c>
      <c r="I385">
        <v>4550000</v>
      </c>
    </row>
    <row r="386" spans="1:9" x14ac:dyDescent="0.3">
      <c r="A386" s="1">
        <v>45978</v>
      </c>
      <c r="B386" t="s">
        <v>213</v>
      </c>
      <c r="C386" t="s">
        <v>10</v>
      </c>
      <c r="D386" t="s">
        <v>89</v>
      </c>
      <c r="E386" t="s">
        <v>12</v>
      </c>
      <c r="F386" t="s">
        <v>22</v>
      </c>
      <c r="G386">
        <v>70</v>
      </c>
      <c r="H386">
        <v>75000</v>
      </c>
      <c r="I386">
        <v>5250000</v>
      </c>
    </row>
    <row r="387" spans="1:9" x14ac:dyDescent="0.3">
      <c r="A387" s="1">
        <v>45687</v>
      </c>
      <c r="B387" t="s">
        <v>724</v>
      </c>
      <c r="C387" t="s">
        <v>15</v>
      </c>
      <c r="D387" t="s">
        <v>101</v>
      </c>
      <c r="E387" t="s">
        <v>36</v>
      </c>
      <c r="F387" t="s">
        <v>29</v>
      </c>
      <c r="G387">
        <v>70</v>
      </c>
      <c r="H387">
        <v>120000</v>
      </c>
      <c r="I387">
        <v>8400000</v>
      </c>
    </row>
    <row r="388" spans="1:9" x14ac:dyDescent="0.3">
      <c r="A388" s="1">
        <v>45987</v>
      </c>
      <c r="B388" t="s">
        <v>66</v>
      </c>
      <c r="C388" t="s">
        <v>24</v>
      </c>
      <c r="D388" t="s">
        <v>51</v>
      </c>
      <c r="E388" t="s">
        <v>36</v>
      </c>
      <c r="F388" t="s">
        <v>13</v>
      </c>
      <c r="G388">
        <v>71</v>
      </c>
      <c r="H388">
        <v>55000</v>
      </c>
      <c r="I388">
        <v>3905000</v>
      </c>
    </row>
    <row r="389" spans="1:9" x14ac:dyDescent="0.3">
      <c r="A389" s="1">
        <v>45789</v>
      </c>
      <c r="B389" t="s">
        <v>76</v>
      </c>
      <c r="C389" t="s">
        <v>15</v>
      </c>
      <c r="D389" t="s">
        <v>56</v>
      </c>
      <c r="E389" t="s">
        <v>57</v>
      </c>
      <c r="F389" t="s">
        <v>18</v>
      </c>
      <c r="G389">
        <v>71</v>
      </c>
      <c r="H389">
        <v>120000</v>
      </c>
      <c r="I389">
        <v>8520000</v>
      </c>
    </row>
    <row r="390" spans="1:9" x14ac:dyDescent="0.3">
      <c r="A390" s="1">
        <v>45776</v>
      </c>
      <c r="B390" t="s">
        <v>127</v>
      </c>
      <c r="C390" t="s">
        <v>15</v>
      </c>
      <c r="D390" t="s">
        <v>65</v>
      </c>
      <c r="E390" t="s">
        <v>21</v>
      </c>
      <c r="F390" t="s">
        <v>22</v>
      </c>
      <c r="G390">
        <v>71</v>
      </c>
      <c r="H390">
        <v>120000</v>
      </c>
      <c r="I390">
        <v>8520000</v>
      </c>
    </row>
    <row r="391" spans="1:9" x14ac:dyDescent="0.3">
      <c r="A391" s="1">
        <v>45985</v>
      </c>
      <c r="B391" t="s">
        <v>244</v>
      </c>
      <c r="C391" t="s">
        <v>15</v>
      </c>
      <c r="D391" t="s">
        <v>79</v>
      </c>
      <c r="E391" t="s">
        <v>36</v>
      </c>
      <c r="F391" t="s">
        <v>33</v>
      </c>
      <c r="G391">
        <v>71</v>
      </c>
      <c r="H391">
        <v>120000</v>
      </c>
      <c r="I391">
        <v>8520000</v>
      </c>
    </row>
    <row r="392" spans="1:9" x14ac:dyDescent="0.3">
      <c r="A392" s="1">
        <v>45890</v>
      </c>
      <c r="B392" t="s">
        <v>328</v>
      </c>
      <c r="C392" t="s">
        <v>10</v>
      </c>
      <c r="D392" t="s">
        <v>152</v>
      </c>
      <c r="E392" t="s">
        <v>36</v>
      </c>
      <c r="F392" t="s">
        <v>29</v>
      </c>
      <c r="G392">
        <v>71</v>
      </c>
      <c r="H392">
        <v>75000</v>
      </c>
      <c r="I392">
        <v>5325000</v>
      </c>
    </row>
    <row r="393" spans="1:9" x14ac:dyDescent="0.3">
      <c r="A393" s="1">
        <v>45897</v>
      </c>
      <c r="B393" t="s">
        <v>628</v>
      </c>
      <c r="C393" t="s">
        <v>15</v>
      </c>
      <c r="D393" t="s">
        <v>133</v>
      </c>
      <c r="E393" t="s">
        <v>17</v>
      </c>
      <c r="F393" t="s">
        <v>18</v>
      </c>
      <c r="G393">
        <v>71</v>
      </c>
      <c r="H393">
        <v>120000</v>
      </c>
      <c r="I393">
        <v>8520000</v>
      </c>
    </row>
    <row r="394" spans="1:9" x14ac:dyDescent="0.3">
      <c r="A394" s="1">
        <v>45879</v>
      </c>
      <c r="B394" t="s">
        <v>716</v>
      </c>
      <c r="C394" t="s">
        <v>10</v>
      </c>
      <c r="D394" t="s">
        <v>25</v>
      </c>
      <c r="E394" t="s">
        <v>26</v>
      </c>
      <c r="F394" t="s">
        <v>22</v>
      </c>
      <c r="G394">
        <v>71</v>
      </c>
      <c r="H394">
        <v>75000</v>
      </c>
      <c r="I394">
        <v>5325000</v>
      </c>
    </row>
    <row r="395" spans="1:9" x14ac:dyDescent="0.3">
      <c r="A395" s="1">
        <v>45984</v>
      </c>
      <c r="B395" t="s">
        <v>736</v>
      </c>
      <c r="C395" t="s">
        <v>24</v>
      </c>
      <c r="D395" t="s">
        <v>119</v>
      </c>
      <c r="E395" t="s">
        <v>36</v>
      </c>
      <c r="F395" t="s">
        <v>13</v>
      </c>
      <c r="G395">
        <v>71</v>
      </c>
      <c r="H395">
        <v>55000</v>
      </c>
      <c r="I395">
        <v>3905000</v>
      </c>
    </row>
    <row r="396" spans="1:9" x14ac:dyDescent="0.3">
      <c r="A396" s="1">
        <v>45974</v>
      </c>
      <c r="B396" t="s">
        <v>865</v>
      </c>
      <c r="C396" t="s">
        <v>24</v>
      </c>
      <c r="D396" t="s">
        <v>25</v>
      </c>
      <c r="E396" t="s">
        <v>26</v>
      </c>
      <c r="F396" t="s">
        <v>13</v>
      </c>
      <c r="G396">
        <v>71</v>
      </c>
      <c r="H396">
        <v>55000</v>
      </c>
      <c r="I396">
        <v>3905000</v>
      </c>
    </row>
    <row r="397" spans="1:9" x14ac:dyDescent="0.3">
      <c r="A397" s="1">
        <v>45984</v>
      </c>
      <c r="B397" t="s">
        <v>892</v>
      </c>
      <c r="C397" t="s">
        <v>24</v>
      </c>
      <c r="D397" t="s">
        <v>35</v>
      </c>
      <c r="E397" t="s">
        <v>36</v>
      </c>
      <c r="F397" t="s">
        <v>33</v>
      </c>
      <c r="G397">
        <v>71</v>
      </c>
      <c r="H397">
        <v>55000</v>
      </c>
      <c r="I397">
        <v>3905000</v>
      </c>
    </row>
    <row r="398" spans="1:9" x14ac:dyDescent="0.3">
      <c r="A398" s="1">
        <v>45752</v>
      </c>
      <c r="B398" t="s">
        <v>899</v>
      </c>
      <c r="C398" t="s">
        <v>53</v>
      </c>
      <c r="D398" t="s">
        <v>119</v>
      </c>
      <c r="E398" t="s">
        <v>36</v>
      </c>
      <c r="F398" t="s">
        <v>13</v>
      </c>
      <c r="G398">
        <v>71</v>
      </c>
      <c r="H398">
        <v>65000</v>
      </c>
      <c r="I398">
        <v>4615000</v>
      </c>
    </row>
    <row r="399" spans="1:9" x14ac:dyDescent="0.3">
      <c r="A399" s="1">
        <v>45710</v>
      </c>
      <c r="B399" t="s">
        <v>1128</v>
      </c>
      <c r="C399" t="s">
        <v>15</v>
      </c>
      <c r="D399" t="s">
        <v>47</v>
      </c>
      <c r="E399" t="s">
        <v>41</v>
      </c>
      <c r="F399" t="s">
        <v>22</v>
      </c>
      <c r="G399">
        <v>71</v>
      </c>
      <c r="H399">
        <v>120000</v>
      </c>
      <c r="I399">
        <v>8520000</v>
      </c>
    </row>
    <row r="400" spans="1:9" x14ac:dyDescent="0.3">
      <c r="A400" s="1">
        <v>45968</v>
      </c>
      <c r="B400" t="s">
        <v>87</v>
      </c>
      <c r="C400" t="s">
        <v>53</v>
      </c>
      <c r="D400" t="s">
        <v>47</v>
      </c>
      <c r="E400" t="s">
        <v>41</v>
      </c>
      <c r="F400" t="s">
        <v>13</v>
      </c>
      <c r="G400">
        <v>72</v>
      </c>
      <c r="H400">
        <v>65000</v>
      </c>
      <c r="I400">
        <v>4680000</v>
      </c>
    </row>
    <row r="401" spans="1:9" x14ac:dyDescent="0.3">
      <c r="A401" s="1">
        <v>45677</v>
      </c>
      <c r="B401" t="s">
        <v>253</v>
      </c>
      <c r="C401" t="s">
        <v>53</v>
      </c>
      <c r="D401" t="s">
        <v>65</v>
      </c>
      <c r="E401" t="s">
        <v>21</v>
      </c>
      <c r="F401" t="s">
        <v>18</v>
      </c>
      <c r="G401">
        <v>72</v>
      </c>
      <c r="H401">
        <v>65000</v>
      </c>
      <c r="I401">
        <v>4680000</v>
      </c>
    </row>
    <row r="402" spans="1:9" x14ac:dyDescent="0.3">
      <c r="A402" s="1">
        <v>45765</v>
      </c>
      <c r="B402" t="s">
        <v>372</v>
      </c>
      <c r="C402" t="s">
        <v>53</v>
      </c>
      <c r="D402" t="s">
        <v>43</v>
      </c>
      <c r="E402" t="s">
        <v>26</v>
      </c>
      <c r="F402" t="s">
        <v>29</v>
      </c>
      <c r="G402">
        <v>72</v>
      </c>
      <c r="H402">
        <v>65000</v>
      </c>
      <c r="I402">
        <v>4680000</v>
      </c>
    </row>
    <row r="403" spans="1:9" x14ac:dyDescent="0.3">
      <c r="A403" s="1">
        <v>45875</v>
      </c>
      <c r="B403" t="s">
        <v>533</v>
      </c>
      <c r="C403" t="s">
        <v>10</v>
      </c>
      <c r="D403" t="s">
        <v>65</v>
      </c>
      <c r="E403" t="s">
        <v>21</v>
      </c>
      <c r="F403" t="s">
        <v>29</v>
      </c>
      <c r="G403">
        <v>72</v>
      </c>
      <c r="H403">
        <v>75000</v>
      </c>
      <c r="I403">
        <v>5400000</v>
      </c>
    </row>
    <row r="404" spans="1:9" x14ac:dyDescent="0.3">
      <c r="A404" s="1">
        <v>46019</v>
      </c>
      <c r="B404" t="s">
        <v>636</v>
      </c>
      <c r="C404" t="s">
        <v>10</v>
      </c>
      <c r="D404" t="s">
        <v>269</v>
      </c>
      <c r="E404" t="s">
        <v>32</v>
      </c>
      <c r="F404" t="s">
        <v>18</v>
      </c>
      <c r="G404">
        <v>72</v>
      </c>
      <c r="H404">
        <v>75000</v>
      </c>
      <c r="I404">
        <v>5400000</v>
      </c>
    </row>
    <row r="405" spans="1:9" x14ac:dyDescent="0.3">
      <c r="A405" s="1">
        <v>45756</v>
      </c>
      <c r="B405" t="s">
        <v>1166</v>
      </c>
      <c r="C405" t="s">
        <v>24</v>
      </c>
      <c r="D405" t="s">
        <v>31</v>
      </c>
      <c r="E405" t="s">
        <v>32</v>
      </c>
      <c r="F405" t="s">
        <v>33</v>
      </c>
      <c r="G405">
        <v>72</v>
      </c>
      <c r="H405">
        <v>55000</v>
      </c>
      <c r="I405">
        <v>3960000</v>
      </c>
    </row>
    <row r="406" spans="1:9" x14ac:dyDescent="0.3">
      <c r="A406" s="1">
        <v>45821</v>
      </c>
      <c r="B406" t="s">
        <v>1259</v>
      </c>
      <c r="C406" t="s">
        <v>10</v>
      </c>
      <c r="D406" t="s">
        <v>16</v>
      </c>
      <c r="E406" t="s">
        <v>17</v>
      </c>
      <c r="F406" t="s">
        <v>22</v>
      </c>
      <c r="G406">
        <v>72</v>
      </c>
      <c r="H406">
        <v>75000</v>
      </c>
      <c r="I406">
        <v>5400000</v>
      </c>
    </row>
    <row r="407" spans="1:9" x14ac:dyDescent="0.3">
      <c r="A407" s="1">
        <v>45844</v>
      </c>
      <c r="B407" t="s">
        <v>513</v>
      </c>
      <c r="C407" t="s">
        <v>24</v>
      </c>
      <c r="D407" t="s">
        <v>20</v>
      </c>
      <c r="E407" t="s">
        <v>21</v>
      </c>
      <c r="F407" t="s">
        <v>13</v>
      </c>
      <c r="G407">
        <v>73</v>
      </c>
      <c r="H407">
        <v>55000</v>
      </c>
      <c r="I407">
        <v>4015000</v>
      </c>
    </row>
    <row r="408" spans="1:9" x14ac:dyDescent="0.3">
      <c r="A408" s="1">
        <v>46018</v>
      </c>
      <c r="B408" t="s">
        <v>754</v>
      </c>
      <c r="C408" t="s">
        <v>15</v>
      </c>
      <c r="D408" t="s">
        <v>71</v>
      </c>
      <c r="E408" t="s">
        <v>21</v>
      </c>
      <c r="F408" t="s">
        <v>22</v>
      </c>
      <c r="G408">
        <v>73</v>
      </c>
      <c r="H408">
        <v>120000</v>
      </c>
      <c r="I408">
        <v>8760000</v>
      </c>
    </row>
    <row r="409" spans="1:9" x14ac:dyDescent="0.3">
      <c r="A409" s="1">
        <v>45708</v>
      </c>
      <c r="B409" t="s">
        <v>1077</v>
      </c>
      <c r="C409" t="s">
        <v>53</v>
      </c>
      <c r="D409" t="s">
        <v>93</v>
      </c>
      <c r="E409" t="s">
        <v>41</v>
      </c>
      <c r="F409" t="s">
        <v>33</v>
      </c>
      <c r="G409">
        <v>73</v>
      </c>
      <c r="H409">
        <v>65000</v>
      </c>
      <c r="I409">
        <v>4745000</v>
      </c>
    </row>
    <row r="410" spans="1:9" x14ac:dyDescent="0.3">
      <c r="A410" s="1">
        <v>45821</v>
      </c>
      <c r="B410" t="s">
        <v>299</v>
      </c>
      <c r="C410" t="s">
        <v>24</v>
      </c>
      <c r="D410" t="s">
        <v>104</v>
      </c>
      <c r="E410" t="s">
        <v>26</v>
      </c>
      <c r="F410" t="s">
        <v>33</v>
      </c>
      <c r="G410">
        <v>74</v>
      </c>
      <c r="H410">
        <v>55000</v>
      </c>
      <c r="I410">
        <v>4070000</v>
      </c>
    </row>
    <row r="411" spans="1:9" x14ac:dyDescent="0.3">
      <c r="A411" s="1">
        <v>45862</v>
      </c>
      <c r="B411" t="s">
        <v>474</v>
      </c>
      <c r="C411" t="s">
        <v>10</v>
      </c>
      <c r="D411" t="s">
        <v>49</v>
      </c>
      <c r="E411" t="s">
        <v>26</v>
      </c>
      <c r="F411" t="s">
        <v>22</v>
      </c>
      <c r="G411">
        <v>74</v>
      </c>
      <c r="H411">
        <v>75000</v>
      </c>
      <c r="I411">
        <v>5550000</v>
      </c>
    </row>
    <row r="412" spans="1:9" x14ac:dyDescent="0.3">
      <c r="A412" s="1">
        <v>45928</v>
      </c>
      <c r="B412" t="s">
        <v>943</v>
      </c>
      <c r="C412" t="s">
        <v>10</v>
      </c>
      <c r="D412" t="s">
        <v>104</v>
      </c>
      <c r="E412" t="s">
        <v>26</v>
      </c>
      <c r="F412" t="s">
        <v>18</v>
      </c>
      <c r="G412">
        <v>74</v>
      </c>
      <c r="H412">
        <v>75000</v>
      </c>
      <c r="I412">
        <v>5550000</v>
      </c>
    </row>
    <row r="413" spans="1:9" x14ac:dyDescent="0.3">
      <c r="A413" s="1">
        <v>45659</v>
      </c>
      <c r="B413" t="s">
        <v>974</v>
      </c>
      <c r="C413" t="s">
        <v>10</v>
      </c>
      <c r="D413" t="s">
        <v>35</v>
      </c>
      <c r="E413" t="s">
        <v>36</v>
      </c>
      <c r="F413" t="s">
        <v>22</v>
      </c>
      <c r="G413">
        <v>74</v>
      </c>
      <c r="H413">
        <v>75000</v>
      </c>
      <c r="I413">
        <v>5550000</v>
      </c>
    </row>
    <row r="414" spans="1:9" x14ac:dyDescent="0.3">
      <c r="A414" s="1">
        <v>45707</v>
      </c>
      <c r="B414" t="s">
        <v>1241</v>
      </c>
      <c r="C414" t="s">
        <v>10</v>
      </c>
      <c r="D414" t="s">
        <v>101</v>
      </c>
      <c r="E414" t="s">
        <v>36</v>
      </c>
      <c r="F414" t="s">
        <v>29</v>
      </c>
      <c r="G414">
        <v>74</v>
      </c>
      <c r="H414">
        <v>75000</v>
      </c>
      <c r="I414">
        <v>5550000</v>
      </c>
    </row>
    <row r="415" spans="1:9" x14ac:dyDescent="0.3">
      <c r="A415" s="1">
        <v>45696</v>
      </c>
      <c r="B415" t="s">
        <v>193</v>
      </c>
      <c r="C415" t="s">
        <v>24</v>
      </c>
      <c r="D415" t="s">
        <v>59</v>
      </c>
      <c r="E415" t="s">
        <v>41</v>
      </c>
      <c r="F415" t="s">
        <v>13</v>
      </c>
      <c r="G415">
        <v>75</v>
      </c>
      <c r="H415">
        <v>55000</v>
      </c>
      <c r="I415">
        <v>4125000</v>
      </c>
    </row>
    <row r="416" spans="1:9" x14ac:dyDescent="0.3">
      <c r="A416" s="1">
        <v>45744</v>
      </c>
      <c r="B416" t="s">
        <v>217</v>
      </c>
      <c r="C416" t="s">
        <v>53</v>
      </c>
      <c r="D416" t="s">
        <v>35</v>
      </c>
      <c r="E416" t="s">
        <v>36</v>
      </c>
      <c r="F416" t="s">
        <v>18</v>
      </c>
      <c r="G416">
        <v>75</v>
      </c>
      <c r="H416">
        <v>65000</v>
      </c>
      <c r="I416">
        <v>4875000</v>
      </c>
    </row>
    <row r="417" spans="1:9" x14ac:dyDescent="0.3">
      <c r="A417" s="1">
        <v>45710</v>
      </c>
      <c r="B417" t="s">
        <v>224</v>
      </c>
      <c r="C417" t="s">
        <v>53</v>
      </c>
      <c r="D417" t="s">
        <v>79</v>
      </c>
      <c r="E417" t="s">
        <v>36</v>
      </c>
      <c r="F417" t="s">
        <v>13</v>
      </c>
      <c r="G417">
        <v>75</v>
      </c>
      <c r="H417">
        <v>65000</v>
      </c>
      <c r="I417">
        <v>4875000</v>
      </c>
    </row>
    <row r="418" spans="1:9" x14ac:dyDescent="0.3">
      <c r="A418" s="1">
        <v>45766</v>
      </c>
      <c r="B418" t="s">
        <v>262</v>
      </c>
      <c r="C418" t="s">
        <v>10</v>
      </c>
      <c r="D418" t="s">
        <v>43</v>
      </c>
      <c r="E418" t="s">
        <v>26</v>
      </c>
      <c r="F418" t="s">
        <v>18</v>
      </c>
      <c r="G418">
        <v>75</v>
      </c>
      <c r="H418">
        <v>75000</v>
      </c>
      <c r="I418">
        <v>5625000</v>
      </c>
    </row>
    <row r="419" spans="1:9" x14ac:dyDescent="0.3">
      <c r="A419" s="1">
        <v>45836</v>
      </c>
      <c r="B419" t="s">
        <v>501</v>
      </c>
      <c r="C419" t="s">
        <v>24</v>
      </c>
      <c r="D419" t="s">
        <v>201</v>
      </c>
      <c r="E419" t="s">
        <v>21</v>
      </c>
      <c r="F419" t="s">
        <v>18</v>
      </c>
      <c r="G419">
        <v>75</v>
      </c>
      <c r="H419">
        <v>55000</v>
      </c>
      <c r="I419">
        <v>4125000</v>
      </c>
    </row>
    <row r="420" spans="1:9" x14ac:dyDescent="0.3">
      <c r="A420" s="1">
        <v>45908</v>
      </c>
      <c r="B420" t="s">
        <v>758</v>
      </c>
      <c r="C420" t="s">
        <v>10</v>
      </c>
      <c r="D420" t="s">
        <v>45</v>
      </c>
      <c r="E420" t="s">
        <v>12</v>
      </c>
      <c r="F420" t="s">
        <v>13</v>
      </c>
      <c r="G420">
        <v>75</v>
      </c>
      <c r="H420">
        <v>75000</v>
      </c>
      <c r="I420">
        <v>5625000</v>
      </c>
    </row>
    <row r="421" spans="1:9" x14ac:dyDescent="0.3">
      <c r="A421" s="1">
        <v>45701</v>
      </c>
      <c r="B421" t="s">
        <v>1094</v>
      </c>
      <c r="C421" t="s">
        <v>10</v>
      </c>
      <c r="D421" t="s">
        <v>49</v>
      </c>
      <c r="E421" t="s">
        <v>26</v>
      </c>
      <c r="F421" t="s">
        <v>22</v>
      </c>
      <c r="G421">
        <v>75</v>
      </c>
      <c r="H421">
        <v>75000</v>
      </c>
      <c r="I421">
        <v>5625000</v>
      </c>
    </row>
    <row r="422" spans="1:9" x14ac:dyDescent="0.3">
      <c r="A422" s="1">
        <v>45790</v>
      </c>
      <c r="B422" t="s">
        <v>1129</v>
      </c>
      <c r="C422" t="s">
        <v>53</v>
      </c>
      <c r="D422" t="s">
        <v>201</v>
      </c>
      <c r="E422" t="s">
        <v>21</v>
      </c>
      <c r="F422" t="s">
        <v>33</v>
      </c>
      <c r="G422">
        <v>75</v>
      </c>
      <c r="H422">
        <v>65000</v>
      </c>
      <c r="I422">
        <v>4875000</v>
      </c>
    </row>
    <row r="423" spans="1:9" x14ac:dyDescent="0.3">
      <c r="A423" s="1">
        <v>45951</v>
      </c>
      <c r="B423" t="s">
        <v>1207</v>
      </c>
      <c r="C423" t="s">
        <v>10</v>
      </c>
      <c r="D423" t="s">
        <v>35</v>
      </c>
      <c r="E423" t="s">
        <v>36</v>
      </c>
      <c r="F423" t="s">
        <v>18</v>
      </c>
      <c r="G423">
        <v>75</v>
      </c>
      <c r="H423">
        <v>75000</v>
      </c>
      <c r="I423">
        <v>5625000</v>
      </c>
    </row>
    <row r="424" spans="1:9" x14ac:dyDescent="0.3">
      <c r="A424" s="1">
        <v>45701</v>
      </c>
      <c r="B424" t="s">
        <v>9</v>
      </c>
      <c r="C424" t="s">
        <v>10</v>
      </c>
      <c r="D424" t="s">
        <v>11</v>
      </c>
      <c r="E424" t="s">
        <v>12</v>
      </c>
      <c r="F424" t="s">
        <v>13</v>
      </c>
      <c r="G424">
        <v>76</v>
      </c>
      <c r="H424">
        <v>75000</v>
      </c>
      <c r="I424">
        <v>5700000</v>
      </c>
    </row>
    <row r="425" spans="1:9" x14ac:dyDescent="0.3">
      <c r="A425" s="1">
        <v>46003</v>
      </c>
      <c r="B425" t="s">
        <v>199</v>
      </c>
      <c r="C425" t="s">
        <v>15</v>
      </c>
      <c r="D425" t="s">
        <v>68</v>
      </c>
      <c r="E425" t="s">
        <v>21</v>
      </c>
      <c r="F425" t="s">
        <v>33</v>
      </c>
      <c r="G425">
        <v>76</v>
      </c>
      <c r="H425">
        <v>120000</v>
      </c>
      <c r="I425">
        <v>9120000</v>
      </c>
    </row>
    <row r="426" spans="1:9" x14ac:dyDescent="0.3">
      <c r="A426" s="1">
        <v>45669</v>
      </c>
      <c r="B426" t="s">
        <v>401</v>
      </c>
      <c r="C426" t="s">
        <v>24</v>
      </c>
      <c r="D426" t="s">
        <v>28</v>
      </c>
      <c r="E426" t="s">
        <v>17</v>
      </c>
      <c r="F426" t="s">
        <v>18</v>
      </c>
      <c r="G426">
        <v>76</v>
      </c>
      <c r="H426">
        <v>55000</v>
      </c>
      <c r="I426">
        <v>4180000</v>
      </c>
    </row>
    <row r="427" spans="1:9" x14ac:dyDescent="0.3">
      <c r="A427" s="1">
        <v>45698</v>
      </c>
      <c r="B427" t="s">
        <v>796</v>
      </c>
      <c r="C427" t="s">
        <v>53</v>
      </c>
      <c r="D427" t="s">
        <v>104</v>
      </c>
      <c r="E427" t="s">
        <v>26</v>
      </c>
      <c r="F427" t="s">
        <v>22</v>
      </c>
      <c r="G427">
        <v>76</v>
      </c>
      <c r="H427">
        <v>65000</v>
      </c>
      <c r="I427">
        <v>4940000</v>
      </c>
    </row>
    <row r="428" spans="1:9" x14ac:dyDescent="0.3">
      <c r="A428" s="1">
        <v>45922</v>
      </c>
      <c r="B428" t="s">
        <v>844</v>
      </c>
      <c r="C428" t="s">
        <v>24</v>
      </c>
      <c r="D428" t="s">
        <v>56</v>
      </c>
      <c r="E428" t="s">
        <v>57</v>
      </c>
      <c r="F428" t="s">
        <v>18</v>
      </c>
      <c r="G428">
        <v>76</v>
      </c>
      <c r="H428">
        <v>55000</v>
      </c>
      <c r="I428">
        <v>4180000</v>
      </c>
    </row>
    <row r="429" spans="1:9" x14ac:dyDescent="0.3">
      <c r="A429" s="1">
        <v>45822</v>
      </c>
      <c r="B429" t="s">
        <v>965</v>
      </c>
      <c r="C429" t="s">
        <v>15</v>
      </c>
      <c r="D429" t="s">
        <v>35</v>
      </c>
      <c r="E429" t="s">
        <v>36</v>
      </c>
      <c r="F429" t="s">
        <v>13</v>
      </c>
      <c r="G429">
        <v>76</v>
      </c>
      <c r="H429">
        <v>120000</v>
      </c>
      <c r="I429">
        <v>9120000</v>
      </c>
    </row>
    <row r="430" spans="1:9" x14ac:dyDescent="0.3">
      <c r="A430" s="1">
        <v>45694</v>
      </c>
      <c r="B430" t="s">
        <v>979</v>
      </c>
      <c r="C430" t="s">
        <v>53</v>
      </c>
      <c r="D430" t="s">
        <v>28</v>
      </c>
      <c r="E430" t="s">
        <v>17</v>
      </c>
      <c r="F430" t="s">
        <v>33</v>
      </c>
      <c r="G430">
        <v>76</v>
      </c>
      <c r="H430">
        <v>65000</v>
      </c>
      <c r="I430">
        <v>4940000</v>
      </c>
    </row>
    <row r="431" spans="1:9" x14ac:dyDescent="0.3">
      <c r="A431" s="1">
        <v>45668</v>
      </c>
      <c r="B431" t="s">
        <v>1100</v>
      </c>
      <c r="C431" t="s">
        <v>24</v>
      </c>
      <c r="D431" t="s">
        <v>65</v>
      </c>
      <c r="E431" t="s">
        <v>21</v>
      </c>
      <c r="F431" t="s">
        <v>18</v>
      </c>
      <c r="G431">
        <v>76</v>
      </c>
      <c r="H431">
        <v>55000</v>
      </c>
      <c r="I431">
        <v>4180000</v>
      </c>
    </row>
    <row r="432" spans="1:9" x14ac:dyDescent="0.3">
      <c r="A432" s="1">
        <v>45969</v>
      </c>
      <c r="B432" t="s">
        <v>27</v>
      </c>
      <c r="C432" t="s">
        <v>10</v>
      </c>
      <c r="D432" t="s">
        <v>28</v>
      </c>
      <c r="E432" t="s">
        <v>17</v>
      </c>
      <c r="F432" t="s">
        <v>29</v>
      </c>
      <c r="G432">
        <v>77</v>
      </c>
      <c r="H432">
        <v>75000</v>
      </c>
      <c r="I432">
        <v>5775000</v>
      </c>
    </row>
    <row r="433" spans="1:9" x14ac:dyDescent="0.3">
      <c r="A433" s="1">
        <v>45948</v>
      </c>
      <c r="B433" t="s">
        <v>386</v>
      </c>
      <c r="C433" t="s">
        <v>15</v>
      </c>
      <c r="D433" t="s">
        <v>95</v>
      </c>
      <c r="E433" t="s">
        <v>26</v>
      </c>
      <c r="F433" t="s">
        <v>33</v>
      </c>
      <c r="G433">
        <v>77</v>
      </c>
      <c r="H433">
        <v>120000</v>
      </c>
      <c r="I433">
        <v>9240000</v>
      </c>
    </row>
    <row r="434" spans="1:9" x14ac:dyDescent="0.3">
      <c r="A434" s="1">
        <v>45791</v>
      </c>
      <c r="B434" t="s">
        <v>991</v>
      </c>
      <c r="C434" t="s">
        <v>53</v>
      </c>
      <c r="D434" t="s">
        <v>184</v>
      </c>
      <c r="E434" t="s">
        <v>57</v>
      </c>
      <c r="F434" t="s">
        <v>29</v>
      </c>
      <c r="G434">
        <v>77</v>
      </c>
      <c r="H434">
        <v>65000</v>
      </c>
      <c r="I434">
        <v>5005000</v>
      </c>
    </row>
    <row r="435" spans="1:9" x14ac:dyDescent="0.3">
      <c r="A435" s="1">
        <v>45662</v>
      </c>
      <c r="B435" t="s">
        <v>1195</v>
      </c>
      <c r="C435" t="s">
        <v>24</v>
      </c>
      <c r="D435" t="s">
        <v>86</v>
      </c>
      <c r="E435" t="s">
        <v>12</v>
      </c>
      <c r="F435" t="s">
        <v>29</v>
      </c>
      <c r="G435">
        <v>77</v>
      </c>
      <c r="H435">
        <v>55000</v>
      </c>
      <c r="I435">
        <v>4235000</v>
      </c>
    </row>
    <row r="436" spans="1:9" x14ac:dyDescent="0.3">
      <c r="A436" s="1">
        <v>45808</v>
      </c>
      <c r="B436" t="s">
        <v>1199</v>
      </c>
      <c r="C436" t="s">
        <v>15</v>
      </c>
      <c r="D436" t="s">
        <v>152</v>
      </c>
      <c r="E436" t="s">
        <v>36</v>
      </c>
      <c r="F436" t="s">
        <v>18</v>
      </c>
      <c r="G436">
        <v>77</v>
      </c>
      <c r="H436">
        <v>120000</v>
      </c>
      <c r="I436">
        <v>9240000</v>
      </c>
    </row>
    <row r="437" spans="1:9" x14ac:dyDescent="0.3">
      <c r="A437" s="1">
        <v>45872</v>
      </c>
      <c r="B437" t="s">
        <v>1233</v>
      </c>
      <c r="C437" t="s">
        <v>15</v>
      </c>
      <c r="D437" t="s">
        <v>305</v>
      </c>
      <c r="E437" t="s">
        <v>32</v>
      </c>
      <c r="F437" t="s">
        <v>18</v>
      </c>
      <c r="G437">
        <v>77</v>
      </c>
      <c r="H437">
        <v>120000</v>
      </c>
      <c r="I437">
        <v>9240000</v>
      </c>
    </row>
    <row r="438" spans="1:9" x14ac:dyDescent="0.3">
      <c r="A438" s="1">
        <v>45870</v>
      </c>
      <c r="B438" t="s">
        <v>39</v>
      </c>
      <c r="C438" t="s">
        <v>10</v>
      </c>
      <c r="D438" t="s">
        <v>40</v>
      </c>
      <c r="E438" t="s">
        <v>41</v>
      </c>
      <c r="F438" t="s">
        <v>33</v>
      </c>
      <c r="G438">
        <v>78</v>
      </c>
      <c r="H438">
        <v>75000</v>
      </c>
      <c r="I438">
        <v>5850000</v>
      </c>
    </row>
    <row r="439" spans="1:9" x14ac:dyDescent="0.3">
      <c r="A439" s="1">
        <v>45932</v>
      </c>
      <c r="B439" t="s">
        <v>153</v>
      </c>
      <c r="C439" t="s">
        <v>24</v>
      </c>
      <c r="D439" t="s">
        <v>59</v>
      </c>
      <c r="E439" t="s">
        <v>41</v>
      </c>
      <c r="F439" t="s">
        <v>33</v>
      </c>
      <c r="G439">
        <v>78</v>
      </c>
      <c r="H439">
        <v>55000</v>
      </c>
      <c r="I439">
        <v>4290000</v>
      </c>
    </row>
    <row r="440" spans="1:9" x14ac:dyDescent="0.3">
      <c r="A440" s="1">
        <v>45681</v>
      </c>
      <c r="B440" t="s">
        <v>181</v>
      </c>
      <c r="C440" t="s">
        <v>24</v>
      </c>
      <c r="D440" t="s">
        <v>79</v>
      </c>
      <c r="E440" t="s">
        <v>36</v>
      </c>
      <c r="F440" t="s">
        <v>18</v>
      </c>
      <c r="G440">
        <v>78</v>
      </c>
      <c r="H440">
        <v>55000</v>
      </c>
      <c r="I440">
        <v>4290000</v>
      </c>
    </row>
    <row r="441" spans="1:9" x14ac:dyDescent="0.3">
      <c r="A441" s="1">
        <v>46010</v>
      </c>
      <c r="B441" t="s">
        <v>279</v>
      </c>
      <c r="C441" t="s">
        <v>15</v>
      </c>
      <c r="D441" t="s">
        <v>47</v>
      </c>
      <c r="E441" t="s">
        <v>41</v>
      </c>
      <c r="F441" t="s">
        <v>13</v>
      </c>
      <c r="G441">
        <v>78</v>
      </c>
      <c r="H441">
        <v>120000</v>
      </c>
      <c r="I441">
        <v>9360000</v>
      </c>
    </row>
    <row r="442" spans="1:9" x14ac:dyDescent="0.3">
      <c r="A442" s="1">
        <v>45819</v>
      </c>
      <c r="B442" t="s">
        <v>469</v>
      </c>
      <c r="C442" t="s">
        <v>53</v>
      </c>
      <c r="D442" t="s">
        <v>121</v>
      </c>
      <c r="E442" t="s">
        <v>32</v>
      </c>
      <c r="F442" t="s">
        <v>29</v>
      </c>
      <c r="G442">
        <v>78</v>
      </c>
      <c r="H442">
        <v>65000</v>
      </c>
      <c r="I442">
        <v>5070000</v>
      </c>
    </row>
    <row r="443" spans="1:9" x14ac:dyDescent="0.3">
      <c r="A443" s="1">
        <v>45825</v>
      </c>
      <c r="B443" t="s">
        <v>598</v>
      </c>
      <c r="C443" t="s">
        <v>15</v>
      </c>
      <c r="D443" t="s">
        <v>121</v>
      </c>
      <c r="E443" t="s">
        <v>32</v>
      </c>
      <c r="F443" t="s">
        <v>13</v>
      </c>
      <c r="G443">
        <v>78</v>
      </c>
      <c r="H443">
        <v>120000</v>
      </c>
      <c r="I443">
        <v>9360000</v>
      </c>
    </row>
    <row r="444" spans="1:9" x14ac:dyDescent="0.3">
      <c r="A444" s="1">
        <v>45790</v>
      </c>
      <c r="B444" t="s">
        <v>787</v>
      </c>
      <c r="C444" t="s">
        <v>53</v>
      </c>
      <c r="D444" t="s">
        <v>129</v>
      </c>
      <c r="E444" t="s">
        <v>57</v>
      </c>
      <c r="F444" t="s">
        <v>22</v>
      </c>
      <c r="G444">
        <v>78</v>
      </c>
      <c r="H444">
        <v>65000</v>
      </c>
      <c r="I444">
        <v>5070000</v>
      </c>
    </row>
    <row r="445" spans="1:9" x14ac:dyDescent="0.3">
      <c r="A445" s="1">
        <v>45822</v>
      </c>
      <c r="B445" t="s">
        <v>1079</v>
      </c>
      <c r="C445" t="s">
        <v>24</v>
      </c>
      <c r="D445" t="s">
        <v>54</v>
      </c>
      <c r="E445" t="s">
        <v>21</v>
      </c>
      <c r="F445" t="s">
        <v>33</v>
      </c>
      <c r="G445">
        <v>78</v>
      </c>
      <c r="H445">
        <v>55000</v>
      </c>
      <c r="I445">
        <v>4290000</v>
      </c>
    </row>
    <row r="446" spans="1:9" x14ac:dyDescent="0.3">
      <c r="A446" s="1">
        <v>45664</v>
      </c>
      <c r="B446" t="s">
        <v>1191</v>
      </c>
      <c r="C446" t="s">
        <v>24</v>
      </c>
      <c r="D446" t="s">
        <v>95</v>
      </c>
      <c r="E446" t="s">
        <v>26</v>
      </c>
      <c r="F446" t="s">
        <v>18</v>
      </c>
      <c r="G446">
        <v>78</v>
      </c>
      <c r="H446">
        <v>55000</v>
      </c>
      <c r="I446">
        <v>4290000</v>
      </c>
    </row>
    <row r="447" spans="1:9" x14ac:dyDescent="0.3">
      <c r="A447" s="1">
        <v>45936</v>
      </c>
      <c r="B447" t="s">
        <v>1230</v>
      </c>
      <c r="C447" t="s">
        <v>24</v>
      </c>
      <c r="D447" t="s">
        <v>45</v>
      </c>
      <c r="E447" t="s">
        <v>12</v>
      </c>
      <c r="F447" t="s">
        <v>18</v>
      </c>
      <c r="G447">
        <v>78</v>
      </c>
      <c r="H447">
        <v>55000</v>
      </c>
      <c r="I447">
        <v>4290000</v>
      </c>
    </row>
    <row r="448" spans="1:9" x14ac:dyDescent="0.3">
      <c r="A448" s="1">
        <v>45698</v>
      </c>
      <c r="B448" t="s">
        <v>220</v>
      </c>
      <c r="C448" t="s">
        <v>15</v>
      </c>
      <c r="D448" t="s">
        <v>31</v>
      </c>
      <c r="E448" t="s">
        <v>32</v>
      </c>
      <c r="F448" t="s">
        <v>13</v>
      </c>
      <c r="G448">
        <v>79</v>
      </c>
      <c r="H448">
        <v>120000</v>
      </c>
      <c r="I448">
        <v>9480000</v>
      </c>
    </row>
    <row r="449" spans="1:9" x14ac:dyDescent="0.3">
      <c r="A449" s="1">
        <v>45932</v>
      </c>
      <c r="B449" t="s">
        <v>238</v>
      </c>
      <c r="C449" t="s">
        <v>53</v>
      </c>
      <c r="D449" t="s">
        <v>184</v>
      </c>
      <c r="E449" t="s">
        <v>57</v>
      </c>
      <c r="F449" t="s">
        <v>18</v>
      </c>
      <c r="G449">
        <v>79</v>
      </c>
      <c r="H449">
        <v>65000</v>
      </c>
      <c r="I449">
        <v>5135000</v>
      </c>
    </row>
    <row r="450" spans="1:9" x14ac:dyDescent="0.3">
      <c r="A450" s="1">
        <v>45965</v>
      </c>
      <c r="B450" t="s">
        <v>304</v>
      </c>
      <c r="C450" t="s">
        <v>24</v>
      </c>
      <c r="D450" t="s">
        <v>305</v>
      </c>
      <c r="E450" t="s">
        <v>32</v>
      </c>
      <c r="F450" t="s">
        <v>18</v>
      </c>
      <c r="G450">
        <v>79</v>
      </c>
      <c r="H450">
        <v>55000</v>
      </c>
      <c r="I450">
        <v>4345000</v>
      </c>
    </row>
    <row r="451" spans="1:9" x14ac:dyDescent="0.3">
      <c r="A451" s="1">
        <v>45783</v>
      </c>
      <c r="B451" t="s">
        <v>492</v>
      </c>
      <c r="C451" t="s">
        <v>53</v>
      </c>
      <c r="D451" t="s">
        <v>124</v>
      </c>
      <c r="E451" t="s">
        <v>26</v>
      </c>
      <c r="F451" t="s">
        <v>18</v>
      </c>
      <c r="G451">
        <v>79</v>
      </c>
      <c r="H451">
        <v>65000</v>
      </c>
      <c r="I451">
        <v>5135000</v>
      </c>
    </row>
    <row r="452" spans="1:9" x14ac:dyDescent="0.3">
      <c r="A452" s="1">
        <v>45701</v>
      </c>
      <c r="B452" t="s">
        <v>806</v>
      </c>
      <c r="C452" t="s">
        <v>15</v>
      </c>
      <c r="D452" t="s">
        <v>28</v>
      </c>
      <c r="E452" t="s">
        <v>17</v>
      </c>
      <c r="F452" t="s">
        <v>29</v>
      </c>
      <c r="G452">
        <v>79</v>
      </c>
      <c r="H452">
        <v>120000</v>
      </c>
      <c r="I452">
        <v>9480000</v>
      </c>
    </row>
    <row r="453" spans="1:9" x14ac:dyDescent="0.3">
      <c r="A453" s="1">
        <v>45994</v>
      </c>
      <c r="B453" t="s">
        <v>1080</v>
      </c>
      <c r="C453" t="s">
        <v>53</v>
      </c>
      <c r="D453" t="s">
        <v>20</v>
      </c>
      <c r="E453" t="s">
        <v>21</v>
      </c>
      <c r="F453" t="s">
        <v>18</v>
      </c>
      <c r="G453">
        <v>79</v>
      </c>
      <c r="H453">
        <v>65000</v>
      </c>
      <c r="I453">
        <v>5135000</v>
      </c>
    </row>
    <row r="454" spans="1:9" x14ac:dyDescent="0.3">
      <c r="A454" s="1">
        <v>45872</v>
      </c>
      <c r="B454" t="s">
        <v>1090</v>
      </c>
      <c r="C454" t="s">
        <v>53</v>
      </c>
      <c r="D454" t="s">
        <v>20</v>
      </c>
      <c r="E454" t="s">
        <v>21</v>
      </c>
      <c r="F454" t="s">
        <v>18</v>
      </c>
      <c r="G454">
        <v>79</v>
      </c>
      <c r="H454">
        <v>65000</v>
      </c>
      <c r="I454">
        <v>5135000</v>
      </c>
    </row>
    <row r="455" spans="1:9" x14ac:dyDescent="0.3">
      <c r="A455" s="1">
        <v>45679</v>
      </c>
      <c r="B455" t="s">
        <v>423</v>
      </c>
      <c r="C455" t="s">
        <v>53</v>
      </c>
      <c r="D455" t="s">
        <v>141</v>
      </c>
      <c r="E455" t="s">
        <v>21</v>
      </c>
      <c r="F455" t="s">
        <v>33</v>
      </c>
      <c r="G455">
        <v>80</v>
      </c>
      <c r="H455">
        <v>65000</v>
      </c>
      <c r="I455">
        <v>5200000</v>
      </c>
    </row>
    <row r="456" spans="1:9" x14ac:dyDescent="0.3">
      <c r="A456" s="1">
        <v>45737</v>
      </c>
      <c r="B456" t="s">
        <v>463</v>
      </c>
      <c r="C456" t="s">
        <v>24</v>
      </c>
      <c r="D456" t="s">
        <v>43</v>
      </c>
      <c r="E456" t="s">
        <v>26</v>
      </c>
      <c r="F456" t="s">
        <v>29</v>
      </c>
      <c r="G456">
        <v>80</v>
      </c>
      <c r="H456">
        <v>55000</v>
      </c>
      <c r="I456">
        <v>4400000</v>
      </c>
    </row>
    <row r="457" spans="1:9" x14ac:dyDescent="0.3">
      <c r="A457" s="1">
        <v>45796</v>
      </c>
      <c r="B457" t="s">
        <v>848</v>
      </c>
      <c r="C457" t="s">
        <v>15</v>
      </c>
      <c r="D457" t="s">
        <v>101</v>
      </c>
      <c r="E457" t="s">
        <v>36</v>
      </c>
      <c r="F457" t="s">
        <v>33</v>
      </c>
      <c r="G457">
        <v>80</v>
      </c>
      <c r="H457">
        <v>120000</v>
      </c>
      <c r="I457">
        <v>9600000</v>
      </c>
    </row>
    <row r="458" spans="1:9" x14ac:dyDescent="0.3">
      <c r="A458" s="1">
        <v>45774</v>
      </c>
      <c r="B458" t="s">
        <v>1179</v>
      </c>
      <c r="C458" t="s">
        <v>10</v>
      </c>
      <c r="D458" t="s">
        <v>133</v>
      </c>
      <c r="E458" t="s">
        <v>17</v>
      </c>
      <c r="F458" t="s">
        <v>18</v>
      </c>
      <c r="G458">
        <v>80</v>
      </c>
      <c r="H458">
        <v>75000</v>
      </c>
      <c r="I458">
        <v>6000000</v>
      </c>
    </row>
    <row r="459" spans="1:9" x14ac:dyDescent="0.3">
      <c r="A459" s="1">
        <v>45974</v>
      </c>
      <c r="B459" t="s">
        <v>629</v>
      </c>
      <c r="C459" t="s">
        <v>24</v>
      </c>
      <c r="D459" t="s">
        <v>54</v>
      </c>
      <c r="E459" t="s">
        <v>21</v>
      </c>
      <c r="F459" t="s">
        <v>33</v>
      </c>
      <c r="G459">
        <v>81</v>
      </c>
      <c r="H459">
        <v>55000</v>
      </c>
      <c r="I459">
        <v>4455000</v>
      </c>
    </row>
    <row r="460" spans="1:9" x14ac:dyDescent="0.3">
      <c r="A460" s="1">
        <v>45892</v>
      </c>
      <c r="B460" t="s">
        <v>884</v>
      </c>
      <c r="C460" t="s">
        <v>10</v>
      </c>
      <c r="D460" t="s">
        <v>59</v>
      </c>
      <c r="E460" t="s">
        <v>41</v>
      </c>
      <c r="F460" t="s">
        <v>22</v>
      </c>
      <c r="G460">
        <v>81</v>
      </c>
      <c r="H460">
        <v>75000</v>
      </c>
      <c r="I460">
        <v>6075000</v>
      </c>
    </row>
    <row r="461" spans="1:9" x14ac:dyDescent="0.3">
      <c r="A461" s="1">
        <v>45676</v>
      </c>
      <c r="B461" t="s">
        <v>931</v>
      </c>
      <c r="C461" t="s">
        <v>24</v>
      </c>
      <c r="D461" t="s">
        <v>101</v>
      </c>
      <c r="E461" t="s">
        <v>36</v>
      </c>
      <c r="F461" t="s">
        <v>22</v>
      </c>
      <c r="G461">
        <v>82</v>
      </c>
      <c r="H461">
        <v>55000</v>
      </c>
      <c r="I461">
        <v>4510000</v>
      </c>
    </row>
    <row r="462" spans="1:9" x14ac:dyDescent="0.3">
      <c r="A462" s="1">
        <v>45719</v>
      </c>
      <c r="B462" t="s">
        <v>964</v>
      </c>
      <c r="C462" t="s">
        <v>53</v>
      </c>
      <c r="D462" t="s">
        <v>89</v>
      </c>
      <c r="E462" t="s">
        <v>12</v>
      </c>
      <c r="F462" t="s">
        <v>33</v>
      </c>
      <c r="G462">
        <v>82</v>
      </c>
      <c r="H462">
        <v>65000</v>
      </c>
      <c r="I462">
        <v>5330000</v>
      </c>
    </row>
    <row r="463" spans="1:9" x14ac:dyDescent="0.3">
      <c r="A463" s="1">
        <v>45986</v>
      </c>
      <c r="B463" t="s">
        <v>97</v>
      </c>
      <c r="C463" t="s">
        <v>15</v>
      </c>
      <c r="D463" t="s">
        <v>49</v>
      </c>
      <c r="E463" t="s">
        <v>26</v>
      </c>
      <c r="F463" t="s">
        <v>29</v>
      </c>
      <c r="G463">
        <v>83</v>
      </c>
      <c r="H463">
        <v>120000</v>
      </c>
      <c r="I463">
        <v>9960000</v>
      </c>
    </row>
    <row r="464" spans="1:9" x14ac:dyDescent="0.3">
      <c r="A464" s="1">
        <v>45765</v>
      </c>
      <c r="B464" t="s">
        <v>347</v>
      </c>
      <c r="C464" t="s">
        <v>53</v>
      </c>
      <c r="D464" t="s">
        <v>269</v>
      </c>
      <c r="E464" t="s">
        <v>32</v>
      </c>
      <c r="F464" t="s">
        <v>18</v>
      </c>
      <c r="G464">
        <v>83</v>
      </c>
      <c r="H464">
        <v>65000</v>
      </c>
      <c r="I464">
        <v>5395000</v>
      </c>
    </row>
    <row r="465" spans="1:9" x14ac:dyDescent="0.3">
      <c r="A465" s="1">
        <v>45929</v>
      </c>
      <c r="B465" t="s">
        <v>453</v>
      </c>
      <c r="C465" t="s">
        <v>10</v>
      </c>
      <c r="D465" t="s">
        <v>49</v>
      </c>
      <c r="E465" t="s">
        <v>26</v>
      </c>
      <c r="F465" t="s">
        <v>18</v>
      </c>
      <c r="G465">
        <v>83</v>
      </c>
      <c r="H465">
        <v>75000</v>
      </c>
      <c r="I465">
        <v>6225000</v>
      </c>
    </row>
    <row r="466" spans="1:9" x14ac:dyDescent="0.3">
      <c r="A466" s="1">
        <v>45707</v>
      </c>
      <c r="B466" t="s">
        <v>635</v>
      </c>
      <c r="C466" t="s">
        <v>10</v>
      </c>
      <c r="D466" t="s">
        <v>133</v>
      </c>
      <c r="E466" t="s">
        <v>17</v>
      </c>
      <c r="F466" t="s">
        <v>29</v>
      </c>
      <c r="G466">
        <v>83</v>
      </c>
      <c r="H466">
        <v>75000</v>
      </c>
      <c r="I466">
        <v>6225000</v>
      </c>
    </row>
    <row r="467" spans="1:9" x14ac:dyDescent="0.3">
      <c r="A467" s="1">
        <v>45886</v>
      </c>
      <c r="B467" t="s">
        <v>661</v>
      </c>
      <c r="C467" t="s">
        <v>53</v>
      </c>
      <c r="D467" t="s">
        <v>35</v>
      </c>
      <c r="E467" t="s">
        <v>36</v>
      </c>
      <c r="F467" t="s">
        <v>18</v>
      </c>
      <c r="G467">
        <v>83</v>
      </c>
      <c r="H467">
        <v>65000</v>
      </c>
      <c r="I467">
        <v>5395000</v>
      </c>
    </row>
    <row r="468" spans="1:9" x14ac:dyDescent="0.3">
      <c r="A468" s="1">
        <v>45965</v>
      </c>
      <c r="B468" t="s">
        <v>799</v>
      </c>
      <c r="C468" t="s">
        <v>24</v>
      </c>
      <c r="D468" t="s">
        <v>141</v>
      </c>
      <c r="E468" t="s">
        <v>21</v>
      </c>
      <c r="F468" t="s">
        <v>29</v>
      </c>
      <c r="G468">
        <v>83</v>
      </c>
      <c r="H468">
        <v>55000</v>
      </c>
      <c r="I468">
        <v>4565000</v>
      </c>
    </row>
    <row r="469" spans="1:9" x14ac:dyDescent="0.3">
      <c r="A469" s="1">
        <v>45816</v>
      </c>
      <c r="B469" t="s">
        <v>1014</v>
      </c>
      <c r="C469" t="s">
        <v>24</v>
      </c>
      <c r="D469" t="s">
        <v>73</v>
      </c>
      <c r="E469" t="s">
        <v>36</v>
      </c>
      <c r="F469" t="s">
        <v>29</v>
      </c>
      <c r="G469">
        <v>83</v>
      </c>
      <c r="H469">
        <v>55000</v>
      </c>
      <c r="I469">
        <v>4565000</v>
      </c>
    </row>
    <row r="470" spans="1:9" x14ac:dyDescent="0.3">
      <c r="A470" s="1">
        <v>45911</v>
      </c>
      <c r="B470" t="s">
        <v>1058</v>
      </c>
      <c r="C470" t="s">
        <v>24</v>
      </c>
      <c r="D470" t="s">
        <v>56</v>
      </c>
      <c r="E470" t="s">
        <v>57</v>
      </c>
      <c r="F470" t="s">
        <v>29</v>
      </c>
      <c r="G470">
        <v>83</v>
      </c>
      <c r="H470">
        <v>55000</v>
      </c>
      <c r="I470">
        <v>4565000</v>
      </c>
    </row>
    <row r="471" spans="1:9" x14ac:dyDescent="0.3">
      <c r="A471" s="1">
        <v>45906</v>
      </c>
      <c r="B471" t="s">
        <v>1110</v>
      </c>
      <c r="C471" t="s">
        <v>10</v>
      </c>
      <c r="D471" t="s">
        <v>43</v>
      </c>
      <c r="E471" t="s">
        <v>26</v>
      </c>
      <c r="F471" t="s">
        <v>29</v>
      </c>
      <c r="G471">
        <v>83</v>
      </c>
      <c r="H471">
        <v>75000</v>
      </c>
      <c r="I471">
        <v>6225000</v>
      </c>
    </row>
    <row r="472" spans="1:9" x14ac:dyDescent="0.3">
      <c r="A472" s="1">
        <v>45995</v>
      </c>
      <c r="B472" t="s">
        <v>122</v>
      </c>
      <c r="C472" t="s">
        <v>24</v>
      </c>
      <c r="D472" t="s">
        <v>25</v>
      </c>
      <c r="E472" t="s">
        <v>26</v>
      </c>
      <c r="F472" t="s">
        <v>29</v>
      </c>
      <c r="G472">
        <v>84</v>
      </c>
      <c r="H472">
        <v>55000</v>
      </c>
      <c r="I472">
        <v>4620000</v>
      </c>
    </row>
    <row r="473" spans="1:9" x14ac:dyDescent="0.3">
      <c r="A473" s="1">
        <v>45950</v>
      </c>
      <c r="B473" t="s">
        <v>226</v>
      </c>
      <c r="C473" t="s">
        <v>24</v>
      </c>
      <c r="D473" t="s">
        <v>28</v>
      </c>
      <c r="E473" t="s">
        <v>17</v>
      </c>
      <c r="F473" t="s">
        <v>33</v>
      </c>
      <c r="G473">
        <v>84</v>
      </c>
      <c r="H473">
        <v>55000</v>
      </c>
      <c r="I473">
        <v>4620000</v>
      </c>
    </row>
    <row r="474" spans="1:9" x14ac:dyDescent="0.3">
      <c r="A474" s="1">
        <v>45887</v>
      </c>
      <c r="B474" t="s">
        <v>867</v>
      </c>
      <c r="C474" t="s">
        <v>10</v>
      </c>
      <c r="D474" t="s">
        <v>104</v>
      </c>
      <c r="E474" t="s">
        <v>26</v>
      </c>
      <c r="F474" t="s">
        <v>13</v>
      </c>
      <c r="G474">
        <v>84</v>
      </c>
      <c r="H474">
        <v>75000</v>
      </c>
      <c r="I474">
        <v>6300000</v>
      </c>
    </row>
    <row r="475" spans="1:9" x14ac:dyDescent="0.3">
      <c r="A475" s="1">
        <v>45853</v>
      </c>
      <c r="B475" t="s">
        <v>1059</v>
      </c>
      <c r="C475" t="s">
        <v>15</v>
      </c>
      <c r="D475" t="s">
        <v>56</v>
      </c>
      <c r="E475" t="s">
        <v>57</v>
      </c>
      <c r="F475" t="s">
        <v>33</v>
      </c>
      <c r="G475">
        <v>84</v>
      </c>
      <c r="H475">
        <v>120000</v>
      </c>
      <c r="I475">
        <v>10080000</v>
      </c>
    </row>
    <row r="476" spans="1:9" x14ac:dyDescent="0.3">
      <c r="A476" s="1">
        <v>45914</v>
      </c>
      <c r="B476" t="s">
        <v>1255</v>
      </c>
      <c r="C476" t="s">
        <v>15</v>
      </c>
      <c r="D476" t="s">
        <v>152</v>
      </c>
      <c r="E476" t="s">
        <v>36</v>
      </c>
      <c r="F476" t="s">
        <v>18</v>
      </c>
      <c r="G476">
        <v>84</v>
      </c>
      <c r="H476">
        <v>120000</v>
      </c>
      <c r="I476">
        <v>10080000</v>
      </c>
    </row>
    <row r="477" spans="1:9" x14ac:dyDescent="0.3">
      <c r="A477" s="1">
        <v>45716</v>
      </c>
      <c r="B477" t="s">
        <v>80</v>
      </c>
      <c r="C477" t="s">
        <v>10</v>
      </c>
      <c r="D477" t="s">
        <v>81</v>
      </c>
      <c r="E477" t="s">
        <v>32</v>
      </c>
      <c r="F477" t="s">
        <v>29</v>
      </c>
      <c r="G477">
        <v>85</v>
      </c>
      <c r="H477">
        <v>75000</v>
      </c>
      <c r="I477">
        <v>6375000</v>
      </c>
    </row>
    <row r="478" spans="1:9" x14ac:dyDescent="0.3">
      <c r="A478" s="1">
        <v>45782</v>
      </c>
      <c r="B478" t="s">
        <v>480</v>
      </c>
      <c r="C478" t="s">
        <v>24</v>
      </c>
      <c r="D478" t="s">
        <v>124</v>
      </c>
      <c r="E478" t="s">
        <v>26</v>
      </c>
      <c r="F478" t="s">
        <v>22</v>
      </c>
      <c r="G478">
        <v>85</v>
      </c>
      <c r="H478">
        <v>55000</v>
      </c>
      <c r="I478">
        <v>4675000</v>
      </c>
    </row>
    <row r="479" spans="1:9" x14ac:dyDescent="0.3">
      <c r="A479" s="1">
        <v>45901</v>
      </c>
      <c r="B479" t="s">
        <v>559</v>
      </c>
      <c r="C479" t="s">
        <v>10</v>
      </c>
      <c r="D479" t="s">
        <v>51</v>
      </c>
      <c r="E479" t="s">
        <v>36</v>
      </c>
      <c r="F479" t="s">
        <v>33</v>
      </c>
      <c r="G479">
        <v>85</v>
      </c>
      <c r="H479">
        <v>75000</v>
      </c>
      <c r="I479">
        <v>6375000</v>
      </c>
    </row>
    <row r="480" spans="1:9" x14ac:dyDescent="0.3">
      <c r="A480" s="1">
        <v>45766</v>
      </c>
      <c r="B480" t="s">
        <v>782</v>
      </c>
      <c r="C480" t="s">
        <v>15</v>
      </c>
      <c r="D480" t="s">
        <v>71</v>
      </c>
      <c r="E480" t="s">
        <v>21</v>
      </c>
      <c r="F480" t="s">
        <v>18</v>
      </c>
      <c r="G480">
        <v>85</v>
      </c>
      <c r="H480">
        <v>120000</v>
      </c>
      <c r="I480">
        <v>10200000</v>
      </c>
    </row>
    <row r="481" spans="1:9" x14ac:dyDescent="0.3">
      <c r="A481" s="1">
        <v>45739</v>
      </c>
      <c r="B481" t="s">
        <v>818</v>
      </c>
      <c r="C481" t="s">
        <v>24</v>
      </c>
      <c r="D481" t="s">
        <v>45</v>
      </c>
      <c r="E481" t="s">
        <v>12</v>
      </c>
      <c r="F481" t="s">
        <v>22</v>
      </c>
      <c r="G481">
        <v>85</v>
      </c>
      <c r="H481">
        <v>55000</v>
      </c>
      <c r="I481">
        <v>4675000</v>
      </c>
    </row>
    <row r="482" spans="1:9" x14ac:dyDescent="0.3">
      <c r="A482" s="1">
        <v>45969</v>
      </c>
      <c r="B482" t="s">
        <v>976</v>
      </c>
      <c r="C482" t="s">
        <v>24</v>
      </c>
      <c r="D482" t="s">
        <v>121</v>
      </c>
      <c r="E482" t="s">
        <v>32</v>
      </c>
      <c r="F482" t="s">
        <v>33</v>
      </c>
      <c r="G482">
        <v>85</v>
      </c>
      <c r="H482">
        <v>55000</v>
      </c>
      <c r="I482">
        <v>4675000</v>
      </c>
    </row>
    <row r="483" spans="1:9" x14ac:dyDescent="0.3">
      <c r="A483" s="1">
        <v>45868</v>
      </c>
      <c r="B483" t="s">
        <v>1144</v>
      </c>
      <c r="C483" t="s">
        <v>24</v>
      </c>
      <c r="D483" t="s">
        <v>47</v>
      </c>
      <c r="E483" t="s">
        <v>41</v>
      </c>
      <c r="F483" t="s">
        <v>33</v>
      </c>
      <c r="G483">
        <v>85</v>
      </c>
      <c r="H483">
        <v>55000</v>
      </c>
      <c r="I483">
        <v>4675000</v>
      </c>
    </row>
    <row r="484" spans="1:9" x14ac:dyDescent="0.3">
      <c r="A484" s="1">
        <v>45778</v>
      </c>
      <c r="B484" t="s">
        <v>252</v>
      </c>
      <c r="C484" t="s">
        <v>15</v>
      </c>
      <c r="D484" t="s">
        <v>43</v>
      </c>
      <c r="E484" t="s">
        <v>26</v>
      </c>
      <c r="F484" t="s">
        <v>29</v>
      </c>
      <c r="G484">
        <v>86</v>
      </c>
      <c r="H484">
        <v>120000</v>
      </c>
      <c r="I484">
        <v>10320000</v>
      </c>
    </row>
    <row r="485" spans="1:9" x14ac:dyDescent="0.3">
      <c r="A485" s="1">
        <v>45938</v>
      </c>
      <c r="B485" t="s">
        <v>456</v>
      </c>
      <c r="C485" t="s">
        <v>15</v>
      </c>
      <c r="D485" t="s">
        <v>104</v>
      </c>
      <c r="E485" t="s">
        <v>26</v>
      </c>
      <c r="F485" t="s">
        <v>13</v>
      </c>
      <c r="G485">
        <v>86</v>
      </c>
      <c r="H485">
        <v>120000</v>
      </c>
      <c r="I485">
        <v>10320000</v>
      </c>
    </row>
    <row r="486" spans="1:9" x14ac:dyDescent="0.3">
      <c r="A486" s="1">
        <v>46009</v>
      </c>
      <c r="B486" t="s">
        <v>553</v>
      </c>
      <c r="C486" t="s">
        <v>15</v>
      </c>
      <c r="D486" t="s">
        <v>99</v>
      </c>
      <c r="E486" t="s">
        <v>32</v>
      </c>
      <c r="F486" t="s">
        <v>18</v>
      </c>
      <c r="G486">
        <v>86</v>
      </c>
      <c r="H486">
        <v>120000</v>
      </c>
      <c r="I486">
        <v>10320000</v>
      </c>
    </row>
    <row r="487" spans="1:9" x14ac:dyDescent="0.3">
      <c r="A487" s="1">
        <v>45942</v>
      </c>
      <c r="B487" t="s">
        <v>625</v>
      </c>
      <c r="C487" t="s">
        <v>53</v>
      </c>
      <c r="D487" t="s">
        <v>305</v>
      </c>
      <c r="E487" t="s">
        <v>32</v>
      </c>
      <c r="F487" t="s">
        <v>29</v>
      </c>
      <c r="G487">
        <v>86</v>
      </c>
      <c r="H487">
        <v>65000</v>
      </c>
      <c r="I487">
        <v>5590000</v>
      </c>
    </row>
    <row r="488" spans="1:9" x14ac:dyDescent="0.3">
      <c r="A488" s="1">
        <v>45955</v>
      </c>
      <c r="B488" t="s">
        <v>765</v>
      </c>
      <c r="C488" t="s">
        <v>24</v>
      </c>
      <c r="D488" t="s">
        <v>86</v>
      </c>
      <c r="E488" t="s">
        <v>12</v>
      </c>
      <c r="F488" t="s">
        <v>13</v>
      </c>
      <c r="G488">
        <v>86</v>
      </c>
      <c r="H488">
        <v>55000</v>
      </c>
      <c r="I488">
        <v>4730000</v>
      </c>
    </row>
    <row r="489" spans="1:9" x14ac:dyDescent="0.3">
      <c r="A489" s="1">
        <v>45996</v>
      </c>
      <c r="B489" t="s">
        <v>766</v>
      </c>
      <c r="C489" t="s">
        <v>15</v>
      </c>
      <c r="D489" t="s">
        <v>38</v>
      </c>
      <c r="E489" t="s">
        <v>17</v>
      </c>
      <c r="F489" t="s">
        <v>13</v>
      </c>
      <c r="G489">
        <v>86</v>
      </c>
      <c r="H489">
        <v>120000</v>
      </c>
      <c r="I489">
        <v>10320000</v>
      </c>
    </row>
    <row r="490" spans="1:9" x14ac:dyDescent="0.3">
      <c r="A490" s="1">
        <v>45938</v>
      </c>
      <c r="B490" t="s">
        <v>70</v>
      </c>
      <c r="C490" t="s">
        <v>15</v>
      </c>
      <c r="D490" t="s">
        <v>71</v>
      </c>
      <c r="E490" t="s">
        <v>21</v>
      </c>
      <c r="F490" t="s">
        <v>33</v>
      </c>
      <c r="G490">
        <v>87</v>
      </c>
      <c r="H490">
        <v>120000</v>
      </c>
      <c r="I490">
        <v>10440000</v>
      </c>
    </row>
    <row r="491" spans="1:9" x14ac:dyDescent="0.3">
      <c r="A491" s="1">
        <v>45793</v>
      </c>
      <c r="B491" t="s">
        <v>295</v>
      </c>
      <c r="C491" t="s">
        <v>15</v>
      </c>
      <c r="D491" t="s">
        <v>83</v>
      </c>
      <c r="E491" t="s">
        <v>21</v>
      </c>
      <c r="F491" t="s">
        <v>18</v>
      </c>
      <c r="G491">
        <v>87</v>
      </c>
      <c r="H491">
        <v>120000</v>
      </c>
      <c r="I491">
        <v>10440000</v>
      </c>
    </row>
    <row r="492" spans="1:9" x14ac:dyDescent="0.3">
      <c r="A492" s="1">
        <v>45691</v>
      </c>
      <c r="B492" t="s">
        <v>323</v>
      </c>
      <c r="C492" t="s">
        <v>15</v>
      </c>
      <c r="D492" t="s">
        <v>54</v>
      </c>
      <c r="E492" t="s">
        <v>21</v>
      </c>
      <c r="F492" t="s">
        <v>33</v>
      </c>
      <c r="G492">
        <v>87</v>
      </c>
      <c r="H492">
        <v>120000</v>
      </c>
      <c r="I492">
        <v>10440000</v>
      </c>
    </row>
    <row r="493" spans="1:9" x14ac:dyDescent="0.3">
      <c r="A493" s="1">
        <v>45836</v>
      </c>
      <c r="B493" t="s">
        <v>527</v>
      </c>
      <c r="C493" t="s">
        <v>53</v>
      </c>
      <c r="D493" t="s">
        <v>20</v>
      </c>
      <c r="E493" t="s">
        <v>21</v>
      </c>
      <c r="F493" t="s">
        <v>33</v>
      </c>
      <c r="G493">
        <v>87</v>
      </c>
      <c r="H493">
        <v>65000</v>
      </c>
      <c r="I493">
        <v>5655000</v>
      </c>
    </row>
    <row r="494" spans="1:9" x14ac:dyDescent="0.3">
      <c r="A494" s="1">
        <v>45764</v>
      </c>
      <c r="B494" t="s">
        <v>572</v>
      </c>
      <c r="C494" t="s">
        <v>24</v>
      </c>
      <c r="D494" t="s">
        <v>47</v>
      </c>
      <c r="E494" t="s">
        <v>41</v>
      </c>
      <c r="F494" t="s">
        <v>13</v>
      </c>
      <c r="G494">
        <v>87</v>
      </c>
      <c r="H494">
        <v>55000</v>
      </c>
      <c r="I494">
        <v>4785000</v>
      </c>
    </row>
    <row r="495" spans="1:9" x14ac:dyDescent="0.3">
      <c r="A495" s="1">
        <v>45859</v>
      </c>
      <c r="B495" t="s">
        <v>583</v>
      </c>
      <c r="C495" t="s">
        <v>53</v>
      </c>
      <c r="D495" t="s">
        <v>305</v>
      </c>
      <c r="E495" t="s">
        <v>32</v>
      </c>
      <c r="F495" t="s">
        <v>33</v>
      </c>
      <c r="G495">
        <v>87</v>
      </c>
      <c r="H495">
        <v>65000</v>
      </c>
      <c r="I495">
        <v>5655000</v>
      </c>
    </row>
    <row r="496" spans="1:9" x14ac:dyDescent="0.3">
      <c r="A496" s="1">
        <v>45822</v>
      </c>
      <c r="B496" t="s">
        <v>621</v>
      </c>
      <c r="C496" t="s">
        <v>10</v>
      </c>
      <c r="D496" t="s">
        <v>61</v>
      </c>
      <c r="E496" t="s">
        <v>17</v>
      </c>
      <c r="F496" t="s">
        <v>22</v>
      </c>
      <c r="G496">
        <v>87</v>
      </c>
      <c r="H496">
        <v>75000</v>
      </c>
      <c r="I496">
        <v>6525000</v>
      </c>
    </row>
    <row r="497" spans="1:9" x14ac:dyDescent="0.3">
      <c r="A497" s="1">
        <v>45925</v>
      </c>
      <c r="B497" t="s">
        <v>914</v>
      </c>
      <c r="C497" t="s">
        <v>24</v>
      </c>
      <c r="D497" t="s">
        <v>28</v>
      </c>
      <c r="E497" t="s">
        <v>17</v>
      </c>
      <c r="F497" t="s">
        <v>22</v>
      </c>
      <c r="G497">
        <v>87</v>
      </c>
      <c r="H497">
        <v>55000</v>
      </c>
      <c r="I497">
        <v>4785000</v>
      </c>
    </row>
    <row r="498" spans="1:9" x14ac:dyDescent="0.3">
      <c r="A498" s="1">
        <v>45729</v>
      </c>
      <c r="B498" t="s">
        <v>1172</v>
      </c>
      <c r="C498" t="s">
        <v>10</v>
      </c>
      <c r="D498" t="s">
        <v>11</v>
      </c>
      <c r="E498" t="s">
        <v>12</v>
      </c>
      <c r="F498" t="s">
        <v>29</v>
      </c>
      <c r="G498">
        <v>87</v>
      </c>
      <c r="H498">
        <v>75000</v>
      </c>
      <c r="I498">
        <v>6525000</v>
      </c>
    </row>
    <row r="499" spans="1:9" x14ac:dyDescent="0.3">
      <c r="A499" s="1">
        <v>45979</v>
      </c>
      <c r="B499" t="s">
        <v>115</v>
      </c>
      <c r="C499" t="s">
        <v>15</v>
      </c>
      <c r="D499" t="s">
        <v>116</v>
      </c>
      <c r="E499" t="s">
        <v>57</v>
      </c>
      <c r="F499" t="s">
        <v>13</v>
      </c>
      <c r="G499">
        <v>88</v>
      </c>
      <c r="H499">
        <v>120000</v>
      </c>
      <c r="I499">
        <v>10560000</v>
      </c>
    </row>
    <row r="500" spans="1:9" x14ac:dyDescent="0.3">
      <c r="A500" s="1">
        <v>45834</v>
      </c>
      <c r="B500" t="s">
        <v>835</v>
      </c>
      <c r="C500" t="s">
        <v>24</v>
      </c>
      <c r="D500" t="s">
        <v>40</v>
      </c>
      <c r="E500" t="s">
        <v>41</v>
      </c>
      <c r="F500" t="s">
        <v>18</v>
      </c>
      <c r="G500">
        <v>88</v>
      </c>
      <c r="H500">
        <v>55000</v>
      </c>
      <c r="I500">
        <v>4840000</v>
      </c>
    </row>
    <row r="501" spans="1:9" x14ac:dyDescent="0.3">
      <c r="A501" s="1">
        <v>45787</v>
      </c>
      <c r="B501" t="s">
        <v>846</v>
      </c>
      <c r="C501" t="s">
        <v>53</v>
      </c>
      <c r="D501" t="s">
        <v>129</v>
      </c>
      <c r="E501" t="s">
        <v>57</v>
      </c>
      <c r="F501" t="s">
        <v>29</v>
      </c>
      <c r="G501">
        <v>88</v>
      </c>
      <c r="H501">
        <v>65000</v>
      </c>
      <c r="I501">
        <v>5720000</v>
      </c>
    </row>
    <row r="502" spans="1:9" x14ac:dyDescent="0.3">
      <c r="A502" s="1">
        <v>45691</v>
      </c>
      <c r="B502" t="s">
        <v>1029</v>
      </c>
      <c r="C502" t="s">
        <v>53</v>
      </c>
      <c r="D502" t="s">
        <v>63</v>
      </c>
      <c r="E502" t="s">
        <v>32</v>
      </c>
      <c r="F502" t="s">
        <v>33</v>
      </c>
      <c r="G502">
        <v>88</v>
      </c>
      <c r="H502">
        <v>65000</v>
      </c>
      <c r="I502">
        <v>5720000</v>
      </c>
    </row>
    <row r="503" spans="1:9" x14ac:dyDescent="0.3">
      <c r="A503" s="1">
        <v>45853</v>
      </c>
      <c r="B503" t="s">
        <v>1047</v>
      </c>
      <c r="C503" t="s">
        <v>24</v>
      </c>
      <c r="D503" t="s">
        <v>43</v>
      </c>
      <c r="E503" t="s">
        <v>26</v>
      </c>
      <c r="F503" t="s">
        <v>18</v>
      </c>
      <c r="G503">
        <v>88</v>
      </c>
      <c r="H503">
        <v>55000</v>
      </c>
      <c r="I503">
        <v>4840000</v>
      </c>
    </row>
    <row r="504" spans="1:9" x14ac:dyDescent="0.3">
      <c r="A504" s="1">
        <v>46015</v>
      </c>
      <c r="B504" t="s">
        <v>1168</v>
      </c>
      <c r="C504" t="s">
        <v>15</v>
      </c>
      <c r="D504" t="s">
        <v>101</v>
      </c>
      <c r="E504" t="s">
        <v>36</v>
      </c>
      <c r="F504" t="s">
        <v>33</v>
      </c>
      <c r="G504">
        <v>88</v>
      </c>
      <c r="H504">
        <v>120000</v>
      </c>
      <c r="I504">
        <v>10560000</v>
      </c>
    </row>
    <row r="505" spans="1:9" x14ac:dyDescent="0.3">
      <c r="A505" s="1">
        <v>45988</v>
      </c>
      <c r="B505" t="s">
        <v>309</v>
      </c>
      <c r="C505" t="s">
        <v>10</v>
      </c>
      <c r="D505" t="s">
        <v>35</v>
      </c>
      <c r="E505" t="s">
        <v>36</v>
      </c>
      <c r="F505" t="s">
        <v>33</v>
      </c>
      <c r="G505">
        <v>89</v>
      </c>
      <c r="H505">
        <v>75000</v>
      </c>
      <c r="I505">
        <v>6675000</v>
      </c>
    </row>
    <row r="506" spans="1:9" x14ac:dyDescent="0.3">
      <c r="A506" s="1">
        <v>45831</v>
      </c>
      <c r="B506" t="s">
        <v>471</v>
      </c>
      <c r="C506" t="s">
        <v>15</v>
      </c>
      <c r="D506" t="s">
        <v>110</v>
      </c>
      <c r="E506" t="s">
        <v>32</v>
      </c>
      <c r="F506" t="s">
        <v>18</v>
      </c>
      <c r="G506">
        <v>89</v>
      </c>
      <c r="H506">
        <v>120000</v>
      </c>
      <c r="I506">
        <v>10680000</v>
      </c>
    </row>
    <row r="507" spans="1:9" x14ac:dyDescent="0.3">
      <c r="A507" s="1">
        <v>45913</v>
      </c>
      <c r="B507" t="s">
        <v>512</v>
      </c>
      <c r="C507" t="s">
        <v>15</v>
      </c>
      <c r="D507" t="s">
        <v>51</v>
      </c>
      <c r="E507" t="s">
        <v>36</v>
      </c>
      <c r="F507" t="s">
        <v>29</v>
      </c>
      <c r="G507">
        <v>89</v>
      </c>
      <c r="H507">
        <v>120000</v>
      </c>
      <c r="I507">
        <v>10680000</v>
      </c>
    </row>
    <row r="508" spans="1:9" x14ac:dyDescent="0.3">
      <c r="A508" s="1">
        <v>45862</v>
      </c>
      <c r="B508" t="s">
        <v>624</v>
      </c>
      <c r="C508" t="s">
        <v>10</v>
      </c>
      <c r="D508" t="s">
        <v>305</v>
      </c>
      <c r="E508" t="s">
        <v>32</v>
      </c>
      <c r="F508" t="s">
        <v>22</v>
      </c>
      <c r="G508">
        <v>89</v>
      </c>
      <c r="H508">
        <v>75000</v>
      </c>
      <c r="I508">
        <v>6675000</v>
      </c>
    </row>
    <row r="509" spans="1:9" x14ac:dyDescent="0.3">
      <c r="A509" s="1">
        <v>45883</v>
      </c>
      <c r="B509" t="s">
        <v>718</v>
      </c>
      <c r="C509" t="s">
        <v>15</v>
      </c>
      <c r="D509" t="s">
        <v>116</v>
      </c>
      <c r="E509" t="s">
        <v>57</v>
      </c>
      <c r="F509" t="s">
        <v>22</v>
      </c>
      <c r="G509">
        <v>89</v>
      </c>
      <c r="H509">
        <v>120000</v>
      </c>
      <c r="I509">
        <v>10680000</v>
      </c>
    </row>
    <row r="510" spans="1:9" x14ac:dyDescent="0.3">
      <c r="A510" s="1">
        <v>45765</v>
      </c>
      <c r="B510" t="s">
        <v>893</v>
      </c>
      <c r="C510" t="s">
        <v>53</v>
      </c>
      <c r="D510" t="s">
        <v>116</v>
      </c>
      <c r="E510" t="s">
        <v>57</v>
      </c>
      <c r="F510" t="s">
        <v>18</v>
      </c>
      <c r="G510">
        <v>89</v>
      </c>
      <c r="H510">
        <v>65000</v>
      </c>
      <c r="I510">
        <v>5785000</v>
      </c>
    </row>
    <row r="511" spans="1:9" x14ac:dyDescent="0.3">
      <c r="A511" s="1">
        <v>45866</v>
      </c>
      <c r="B511" t="s">
        <v>917</v>
      </c>
      <c r="C511" t="s">
        <v>10</v>
      </c>
      <c r="D511" t="s">
        <v>47</v>
      </c>
      <c r="E511" t="s">
        <v>41</v>
      </c>
      <c r="F511" t="s">
        <v>33</v>
      </c>
      <c r="G511">
        <v>89</v>
      </c>
      <c r="H511">
        <v>75000</v>
      </c>
      <c r="I511">
        <v>6675000</v>
      </c>
    </row>
    <row r="512" spans="1:9" x14ac:dyDescent="0.3">
      <c r="A512" s="1">
        <v>45874</v>
      </c>
      <c r="B512" t="s">
        <v>1033</v>
      </c>
      <c r="C512" t="s">
        <v>53</v>
      </c>
      <c r="D512" t="s">
        <v>201</v>
      </c>
      <c r="E512" t="s">
        <v>21</v>
      </c>
      <c r="F512" t="s">
        <v>29</v>
      </c>
      <c r="G512">
        <v>89</v>
      </c>
      <c r="H512">
        <v>65000</v>
      </c>
      <c r="I512">
        <v>5785000</v>
      </c>
    </row>
    <row r="513" spans="1:9" x14ac:dyDescent="0.3">
      <c r="A513" s="1">
        <v>45838</v>
      </c>
      <c r="B513" t="s">
        <v>60</v>
      </c>
      <c r="C513" t="s">
        <v>10</v>
      </c>
      <c r="D513" t="s">
        <v>61</v>
      </c>
      <c r="E513" t="s">
        <v>17</v>
      </c>
      <c r="F513" t="s">
        <v>29</v>
      </c>
      <c r="G513">
        <v>90</v>
      </c>
      <c r="H513">
        <v>75000</v>
      </c>
      <c r="I513">
        <v>6750000</v>
      </c>
    </row>
    <row r="514" spans="1:9" x14ac:dyDescent="0.3">
      <c r="A514" s="1">
        <v>45841</v>
      </c>
      <c r="B514" t="s">
        <v>163</v>
      </c>
      <c r="C514" t="s">
        <v>10</v>
      </c>
      <c r="D514" t="s">
        <v>63</v>
      </c>
      <c r="E514" t="s">
        <v>32</v>
      </c>
      <c r="F514" t="s">
        <v>18</v>
      </c>
      <c r="G514">
        <v>90</v>
      </c>
      <c r="H514">
        <v>75000</v>
      </c>
      <c r="I514">
        <v>6750000</v>
      </c>
    </row>
    <row r="515" spans="1:9" x14ac:dyDescent="0.3">
      <c r="A515" s="1">
        <v>45945</v>
      </c>
      <c r="B515" t="s">
        <v>314</v>
      </c>
      <c r="C515" t="s">
        <v>53</v>
      </c>
      <c r="D515" t="s">
        <v>43</v>
      </c>
      <c r="E515" t="s">
        <v>26</v>
      </c>
      <c r="F515" t="s">
        <v>13</v>
      </c>
      <c r="G515">
        <v>90</v>
      </c>
      <c r="H515">
        <v>65000</v>
      </c>
      <c r="I515">
        <v>5850000</v>
      </c>
    </row>
    <row r="516" spans="1:9" x14ac:dyDescent="0.3">
      <c r="A516" s="1">
        <v>45668</v>
      </c>
      <c r="B516" t="s">
        <v>743</v>
      </c>
      <c r="C516" t="s">
        <v>10</v>
      </c>
      <c r="D516" t="s">
        <v>43</v>
      </c>
      <c r="E516" t="s">
        <v>26</v>
      </c>
      <c r="F516" t="s">
        <v>29</v>
      </c>
      <c r="G516">
        <v>90</v>
      </c>
      <c r="H516">
        <v>75000</v>
      </c>
      <c r="I516">
        <v>6750000</v>
      </c>
    </row>
    <row r="517" spans="1:9" x14ac:dyDescent="0.3">
      <c r="A517" s="1">
        <v>45761</v>
      </c>
      <c r="B517" t="s">
        <v>819</v>
      </c>
      <c r="C517" t="s">
        <v>53</v>
      </c>
      <c r="D517" t="s">
        <v>251</v>
      </c>
      <c r="E517" t="s">
        <v>12</v>
      </c>
      <c r="F517" t="s">
        <v>22</v>
      </c>
      <c r="G517">
        <v>90</v>
      </c>
      <c r="H517">
        <v>65000</v>
      </c>
      <c r="I517">
        <v>5850000</v>
      </c>
    </row>
    <row r="518" spans="1:9" x14ac:dyDescent="0.3">
      <c r="A518" s="1">
        <v>45680</v>
      </c>
      <c r="B518" t="s">
        <v>951</v>
      </c>
      <c r="C518" t="s">
        <v>10</v>
      </c>
      <c r="D518" t="s">
        <v>40</v>
      </c>
      <c r="E518" t="s">
        <v>41</v>
      </c>
      <c r="F518" t="s">
        <v>33</v>
      </c>
      <c r="G518">
        <v>90</v>
      </c>
      <c r="H518">
        <v>75000</v>
      </c>
      <c r="I518">
        <v>6750000</v>
      </c>
    </row>
    <row r="519" spans="1:9" x14ac:dyDescent="0.3">
      <c r="A519" s="1">
        <v>45929</v>
      </c>
      <c r="B519" t="s">
        <v>1042</v>
      </c>
      <c r="C519" t="s">
        <v>15</v>
      </c>
      <c r="D519" t="s">
        <v>16</v>
      </c>
      <c r="E519" t="s">
        <v>17</v>
      </c>
      <c r="F519" t="s">
        <v>18</v>
      </c>
      <c r="G519">
        <v>90</v>
      </c>
      <c r="H519">
        <v>120000</v>
      </c>
      <c r="I519">
        <v>10800000</v>
      </c>
    </row>
    <row r="520" spans="1:9" x14ac:dyDescent="0.3">
      <c r="A520" s="1">
        <v>45819</v>
      </c>
      <c r="B520" t="s">
        <v>1159</v>
      </c>
      <c r="C520" t="s">
        <v>15</v>
      </c>
      <c r="D520" t="s">
        <v>104</v>
      </c>
      <c r="E520" t="s">
        <v>26</v>
      </c>
      <c r="F520" t="s">
        <v>22</v>
      </c>
      <c r="G520">
        <v>90</v>
      </c>
      <c r="H520">
        <v>120000</v>
      </c>
      <c r="I520">
        <v>10800000</v>
      </c>
    </row>
    <row r="521" spans="1:9" x14ac:dyDescent="0.3">
      <c r="A521" s="1">
        <v>45973</v>
      </c>
      <c r="B521" t="s">
        <v>62</v>
      </c>
      <c r="C521" t="s">
        <v>53</v>
      </c>
      <c r="D521" t="s">
        <v>63</v>
      </c>
      <c r="E521" t="s">
        <v>32</v>
      </c>
      <c r="F521" t="s">
        <v>22</v>
      </c>
      <c r="G521">
        <v>91</v>
      </c>
      <c r="H521">
        <v>65000</v>
      </c>
      <c r="I521">
        <v>5915000</v>
      </c>
    </row>
    <row r="522" spans="1:9" x14ac:dyDescent="0.3">
      <c r="A522" s="1">
        <v>45978</v>
      </c>
      <c r="B522" t="s">
        <v>145</v>
      </c>
      <c r="C522" t="s">
        <v>53</v>
      </c>
      <c r="D522" t="s">
        <v>99</v>
      </c>
      <c r="E522" t="s">
        <v>32</v>
      </c>
      <c r="F522" t="s">
        <v>29</v>
      </c>
      <c r="G522">
        <v>91</v>
      </c>
      <c r="H522">
        <v>65000</v>
      </c>
      <c r="I522">
        <v>5915000</v>
      </c>
    </row>
    <row r="523" spans="1:9" x14ac:dyDescent="0.3">
      <c r="A523" s="1">
        <v>46012</v>
      </c>
      <c r="B523" t="s">
        <v>610</v>
      </c>
      <c r="C523" t="s">
        <v>24</v>
      </c>
      <c r="D523" t="s">
        <v>269</v>
      </c>
      <c r="E523" t="s">
        <v>32</v>
      </c>
      <c r="F523" t="s">
        <v>22</v>
      </c>
      <c r="G523">
        <v>91</v>
      </c>
      <c r="H523">
        <v>55000</v>
      </c>
      <c r="I523">
        <v>5005000</v>
      </c>
    </row>
    <row r="524" spans="1:9" x14ac:dyDescent="0.3">
      <c r="A524" s="1">
        <v>45819</v>
      </c>
      <c r="B524" t="s">
        <v>1123</v>
      </c>
      <c r="C524" t="s">
        <v>24</v>
      </c>
      <c r="D524" t="s">
        <v>16</v>
      </c>
      <c r="E524" t="s">
        <v>17</v>
      </c>
      <c r="F524" t="s">
        <v>13</v>
      </c>
      <c r="G524">
        <v>91</v>
      </c>
      <c r="H524">
        <v>55000</v>
      </c>
      <c r="I524">
        <v>5005000</v>
      </c>
    </row>
    <row r="525" spans="1:9" x14ac:dyDescent="0.3">
      <c r="A525" s="1">
        <v>46012</v>
      </c>
      <c r="B525" t="s">
        <v>1196</v>
      </c>
      <c r="C525" t="s">
        <v>15</v>
      </c>
      <c r="D525" t="s">
        <v>119</v>
      </c>
      <c r="E525" t="s">
        <v>36</v>
      </c>
      <c r="F525" t="s">
        <v>13</v>
      </c>
      <c r="G525">
        <v>91</v>
      </c>
      <c r="H525">
        <v>120000</v>
      </c>
      <c r="I525">
        <v>10920000</v>
      </c>
    </row>
    <row r="526" spans="1:9" x14ac:dyDescent="0.3">
      <c r="A526" s="1">
        <v>45722</v>
      </c>
      <c r="B526" t="s">
        <v>1261</v>
      </c>
      <c r="C526" t="s">
        <v>10</v>
      </c>
      <c r="D526" t="s">
        <v>191</v>
      </c>
      <c r="E526" t="s">
        <v>57</v>
      </c>
      <c r="F526" t="s">
        <v>18</v>
      </c>
      <c r="G526">
        <v>91</v>
      </c>
      <c r="H526">
        <v>75000</v>
      </c>
      <c r="I526">
        <v>6825000</v>
      </c>
    </row>
    <row r="527" spans="1:9" x14ac:dyDescent="0.3">
      <c r="A527" s="1">
        <v>45919</v>
      </c>
      <c r="B527" t="s">
        <v>50</v>
      </c>
      <c r="C527" t="s">
        <v>15</v>
      </c>
      <c r="D527" t="s">
        <v>51</v>
      </c>
      <c r="E527" t="s">
        <v>36</v>
      </c>
      <c r="F527" t="s">
        <v>33</v>
      </c>
      <c r="G527">
        <v>92</v>
      </c>
      <c r="H527">
        <v>120000</v>
      </c>
      <c r="I527">
        <v>11040000</v>
      </c>
    </row>
    <row r="528" spans="1:9" x14ac:dyDescent="0.3">
      <c r="A528" s="1">
        <v>45780</v>
      </c>
      <c r="B528" t="s">
        <v>487</v>
      </c>
      <c r="C528" t="s">
        <v>15</v>
      </c>
      <c r="D528" t="s">
        <v>56</v>
      </c>
      <c r="E528" t="s">
        <v>57</v>
      </c>
      <c r="F528" t="s">
        <v>29</v>
      </c>
      <c r="G528">
        <v>92</v>
      </c>
      <c r="H528">
        <v>120000</v>
      </c>
      <c r="I528">
        <v>11040000</v>
      </c>
    </row>
    <row r="529" spans="1:9" x14ac:dyDescent="0.3">
      <c r="A529" s="1">
        <v>45969</v>
      </c>
      <c r="B529" t="s">
        <v>498</v>
      </c>
      <c r="C529" t="s">
        <v>10</v>
      </c>
      <c r="D529" t="s">
        <v>35</v>
      </c>
      <c r="E529" t="s">
        <v>36</v>
      </c>
      <c r="F529" t="s">
        <v>33</v>
      </c>
      <c r="G529">
        <v>92</v>
      </c>
      <c r="H529">
        <v>75000</v>
      </c>
      <c r="I529">
        <v>6900000</v>
      </c>
    </row>
    <row r="530" spans="1:9" x14ac:dyDescent="0.3">
      <c r="A530" s="1">
        <v>45927</v>
      </c>
      <c r="B530" t="s">
        <v>546</v>
      </c>
      <c r="C530" t="s">
        <v>10</v>
      </c>
      <c r="D530" t="s">
        <v>79</v>
      </c>
      <c r="E530" t="s">
        <v>36</v>
      </c>
      <c r="F530" t="s">
        <v>22</v>
      </c>
      <c r="G530">
        <v>92</v>
      </c>
      <c r="H530">
        <v>75000</v>
      </c>
      <c r="I530">
        <v>6900000</v>
      </c>
    </row>
    <row r="531" spans="1:9" x14ac:dyDescent="0.3">
      <c r="A531" s="1">
        <v>45724</v>
      </c>
      <c r="B531" t="s">
        <v>786</v>
      </c>
      <c r="C531" t="s">
        <v>10</v>
      </c>
      <c r="D531" t="s">
        <v>133</v>
      </c>
      <c r="E531" t="s">
        <v>17</v>
      </c>
      <c r="F531" t="s">
        <v>22</v>
      </c>
      <c r="G531">
        <v>92</v>
      </c>
      <c r="H531">
        <v>75000</v>
      </c>
      <c r="I531">
        <v>6900000</v>
      </c>
    </row>
    <row r="532" spans="1:9" x14ac:dyDescent="0.3">
      <c r="A532" s="1">
        <v>45820</v>
      </c>
      <c r="B532" t="s">
        <v>836</v>
      </c>
      <c r="C532" t="s">
        <v>10</v>
      </c>
      <c r="D532" t="s">
        <v>116</v>
      </c>
      <c r="E532" t="s">
        <v>57</v>
      </c>
      <c r="F532" t="s">
        <v>29</v>
      </c>
      <c r="G532">
        <v>92</v>
      </c>
      <c r="H532">
        <v>75000</v>
      </c>
      <c r="I532">
        <v>6900000</v>
      </c>
    </row>
    <row r="533" spans="1:9" x14ac:dyDescent="0.3">
      <c r="A533" s="1">
        <v>45829</v>
      </c>
      <c r="B533" t="s">
        <v>876</v>
      </c>
      <c r="C533" t="s">
        <v>24</v>
      </c>
      <c r="D533" t="s">
        <v>35</v>
      </c>
      <c r="E533" t="s">
        <v>36</v>
      </c>
      <c r="F533" t="s">
        <v>13</v>
      </c>
      <c r="G533">
        <v>92</v>
      </c>
      <c r="H533">
        <v>55000</v>
      </c>
      <c r="I533">
        <v>5060000</v>
      </c>
    </row>
    <row r="534" spans="1:9" x14ac:dyDescent="0.3">
      <c r="A534" s="1">
        <v>45768</v>
      </c>
      <c r="B534" t="s">
        <v>1217</v>
      </c>
      <c r="C534" t="s">
        <v>15</v>
      </c>
      <c r="D534" t="s">
        <v>11</v>
      </c>
      <c r="E534" t="s">
        <v>12</v>
      </c>
      <c r="F534" t="s">
        <v>29</v>
      </c>
      <c r="G534">
        <v>92</v>
      </c>
      <c r="H534">
        <v>120000</v>
      </c>
      <c r="I534">
        <v>11040000</v>
      </c>
    </row>
    <row r="535" spans="1:9" x14ac:dyDescent="0.3">
      <c r="A535" s="1">
        <v>45791</v>
      </c>
      <c r="B535" t="s">
        <v>1228</v>
      </c>
      <c r="C535" t="s">
        <v>24</v>
      </c>
      <c r="D535" t="s">
        <v>89</v>
      </c>
      <c r="E535" t="s">
        <v>12</v>
      </c>
      <c r="F535" t="s">
        <v>22</v>
      </c>
      <c r="G535">
        <v>92</v>
      </c>
      <c r="H535">
        <v>55000</v>
      </c>
      <c r="I535">
        <v>5060000</v>
      </c>
    </row>
    <row r="536" spans="1:9" x14ac:dyDescent="0.3">
      <c r="A536" s="1">
        <v>45714</v>
      </c>
      <c r="B536" t="s">
        <v>144</v>
      </c>
      <c r="C536" t="s">
        <v>53</v>
      </c>
      <c r="D536" t="s">
        <v>47</v>
      </c>
      <c r="E536" t="s">
        <v>41</v>
      </c>
      <c r="F536" t="s">
        <v>13</v>
      </c>
      <c r="G536">
        <v>93</v>
      </c>
      <c r="H536">
        <v>65000</v>
      </c>
      <c r="I536">
        <v>6045000</v>
      </c>
    </row>
    <row r="537" spans="1:9" x14ac:dyDescent="0.3">
      <c r="A537" s="1">
        <v>45716</v>
      </c>
      <c r="B537" t="s">
        <v>369</v>
      </c>
      <c r="C537" t="s">
        <v>53</v>
      </c>
      <c r="D537" t="s">
        <v>47</v>
      </c>
      <c r="E537" t="s">
        <v>41</v>
      </c>
      <c r="F537" t="s">
        <v>29</v>
      </c>
      <c r="G537">
        <v>93</v>
      </c>
      <c r="H537">
        <v>65000</v>
      </c>
      <c r="I537">
        <v>6045000</v>
      </c>
    </row>
    <row r="538" spans="1:9" x14ac:dyDescent="0.3">
      <c r="A538" s="1">
        <v>45820</v>
      </c>
      <c r="B538" t="s">
        <v>414</v>
      </c>
      <c r="C538" t="s">
        <v>53</v>
      </c>
      <c r="D538" t="s">
        <v>51</v>
      </c>
      <c r="E538" t="s">
        <v>36</v>
      </c>
      <c r="F538" t="s">
        <v>29</v>
      </c>
      <c r="G538">
        <v>93</v>
      </c>
      <c r="H538">
        <v>65000</v>
      </c>
      <c r="I538">
        <v>6045000</v>
      </c>
    </row>
    <row r="539" spans="1:9" x14ac:dyDescent="0.3">
      <c r="A539" s="1">
        <v>45869</v>
      </c>
      <c r="B539" t="s">
        <v>587</v>
      </c>
      <c r="C539" t="s">
        <v>24</v>
      </c>
      <c r="D539" t="s">
        <v>38</v>
      </c>
      <c r="E539" t="s">
        <v>17</v>
      </c>
      <c r="F539" t="s">
        <v>33</v>
      </c>
      <c r="G539">
        <v>93</v>
      </c>
      <c r="H539">
        <v>55000</v>
      </c>
      <c r="I539">
        <v>5115000</v>
      </c>
    </row>
    <row r="540" spans="1:9" x14ac:dyDescent="0.3">
      <c r="A540" s="1">
        <v>45716</v>
      </c>
      <c r="B540" t="s">
        <v>713</v>
      </c>
      <c r="C540" t="s">
        <v>24</v>
      </c>
      <c r="D540" t="s">
        <v>45</v>
      </c>
      <c r="E540" t="s">
        <v>12</v>
      </c>
      <c r="F540" t="s">
        <v>13</v>
      </c>
      <c r="G540">
        <v>93</v>
      </c>
      <c r="H540">
        <v>55000</v>
      </c>
      <c r="I540">
        <v>5115000</v>
      </c>
    </row>
    <row r="541" spans="1:9" x14ac:dyDescent="0.3">
      <c r="A541" s="1">
        <v>45929</v>
      </c>
      <c r="B541" t="s">
        <v>1133</v>
      </c>
      <c r="C541" t="s">
        <v>53</v>
      </c>
      <c r="D541" t="s">
        <v>141</v>
      </c>
      <c r="E541" t="s">
        <v>21</v>
      </c>
      <c r="F541" t="s">
        <v>18</v>
      </c>
      <c r="G541">
        <v>93</v>
      </c>
      <c r="H541">
        <v>65000</v>
      </c>
      <c r="I541">
        <v>6045000</v>
      </c>
    </row>
    <row r="542" spans="1:9" x14ac:dyDescent="0.3">
      <c r="A542" s="1">
        <v>45941</v>
      </c>
      <c r="B542" t="s">
        <v>1182</v>
      </c>
      <c r="C542" t="s">
        <v>53</v>
      </c>
      <c r="D542" t="s">
        <v>116</v>
      </c>
      <c r="E542" t="s">
        <v>57</v>
      </c>
      <c r="F542" t="s">
        <v>18</v>
      </c>
      <c r="G542">
        <v>93</v>
      </c>
      <c r="H542">
        <v>65000</v>
      </c>
      <c r="I542">
        <v>6045000</v>
      </c>
    </row>
    <row r="543" spans="1:9" x14ac:dyDescent="0.3">
      <c r="A543" s="1">
        <v>45869</v>
      </c>
      <c r="B543" t="s">
        <v>442</v>
      </c>
      <c r="C543" t="s">
        <v>53</v>
      </c>
      <c r="D543" t="s">
        <v>141</v>
      </c>
      <c r="E543" t="s">
        <v>21</v>
      </c>
      <c r="F543" t="s">
        <v>18</v>
      </c>
      <c r="G543">
        <v>94</v>
      </c>
      <c r="H543">
        <v>65000</v>
      </c>
      <c r="I543">
        <v>6110000</v>
      </c>
    </row>
    <row r="544" spans="1:9" x14ac:dyDescent="0.3">
      <c r="A544" s="1">
        <v>45719</v>
      </c>
      <c r="B544" t="s">
        <v>657</v>
      </c>
      <c r="C544" t="s">
        <v>24</v>
      </c>
      <c r="D544" t="s">
        <v>89</v>
      </c>
      <c r="E544" t="s">
        <v>12</v>
      </c>
      <c r="F544" t="s">
        <v>33</v>
      </c>
      <c r="G544">
        <v>94</v>
      </c>
      <c r="H544">
        <v>55000</v>
      </c>
      <c r="I544">
        <v>5170000</v>
      </c>
    </row>
    <row r="545" spans="1:9" x14ac:dyDescent="0.3">
      <c r="A545" s="1">
        <v>45831</v>
      </c>
      <c r="B545" t="s">
        <v>1030</v>
      </c>
      <c r="C545" t="s">
        <v>24</v>
      </c>
      <c r="D545" t="s">
        <v>110</v>
      </c>
      <c r="E545" t="s">
        <v>32</v>
      </c>
      <c r="F545" t="s">
        <v>18</v>
      </c>
      <c r="G545">
        <v>94</v>
      </c>
      <c r="H545">
        <v>55000</v>
      </c>
      <c r="I545">
        <v>5170000</v>
      </c>
    </row>
    <row r="546" spans="1:9" x14ac:dyDescent="0.3">
      <c r="A546" s="1">
        <v>45687</v>
      </c>
      <c r="B546" t="s">
        <v>1063</v>
      </c>
      <c r="C546" t="s">
        <v>24</v>
      </c>
      <c r="D546" t="s">
        <v>119</v>
      </c>
      <c r="E546" t="s">
        <v>36</v>
      </c>
      <c r="F546" t="s">
        <v>18</v>
      </c>
      <c r="G546">
        <v>94</v>
      </c>
      <c r="H546">
        <v>55000</v>
      </c>
      <c r="I546">
        <v>5170000</v>
      </c>
    </row>
    <row r="547" spans="1:9" x14ac:dyDescent="0.3">
      <c r="A547" s="1">
        <v>45776</v>
      </c>
      <c r="B547" t="s">
        <v>1272</v>
      </c>
      <c r="C547" t="s">
        <v>10</v>
      </c>
      <c r="D547" t="s">
        <v>51</v>
      </c>
      <c r="E547" t="s">
        <v>36</v>
      </c>
      <c r="F547" t="s">
        <v>13</v>
      </c>
      <c r="G547">
        <v>94</v>
      </c>
      <c r="H547">
        <v>75000</v>
      </c>
      <c r="I547">
        <v>7050000</v>
      </c>
    </row>
    <row r="548" spans="1:9" x14ac:dyDescent="0.3">
      <c r="A548" s="1">
        <v>45683</v>
      </c>
      <c r="B548" t="s">
        <v>543</v>
      </c>
      <c r="C548" t="s">
        <v>15</v>
      </c>
      <c r="D548" t="s">
        <v>73</v>
      </c>
      <c r="E548" t="s">
        <v>36</v>
      </c>
      <c r="F548" t="s">
        <v>13</v>
      </c>
      <c r="G548">
        <v>95</v>
      </c>
      <c r="H548">
        <v>120000</v>
      </c>
      <c r="I548">
        <v>11400000</v>
      </c>
    </row>
    <row r="549" spans="1:9" x14ac:dyDescent="0.3">
      <c r="A549" s="1">
        <v>46010</v>
      </c>
      <c r="B549" t="s">
        <v>585</v>
      </c>
      <c r="C549" t="s">
        <v>10</v>
      </c>
      <c r="D549" t="s">
        <v>79</v>
      </c>
      <c r="E549" t="s">
        <v>36</v>
      </c>
      <c r="F549" t="s">
        <v>18</v>
      </c>
      <c r="G549">
        <v>95</v>
      </c>
      <c r="H549">
        <v>75000</v>
      </c>
      <c r="I549">
        <v>7125000</v>
      </c>
    </row>
    <row r="550" spans="1:9" x14ac:dyDescent="0.3">
      <c r="A550" s="1">
        <v>45939</v>
      </c>
      <c r="B550" t="s">
        <v>590</v>
      </c>
      <c r="C550" t="s">
        <v>24</v>
      </c>
      <c r="D550" t="s">
        <v>28</v>
      </c>
      <c r="E550" t="s">
        <v>17</v>
      </c>
      <c r="F550" t="s">
        <v>13</v>
      </c>
      <c r="G550">
        <v>95</v>
      </c>
      <c r="H550">
        <v>55000</v>
      </c>
      <c r="I550">
        <v>5225000</v>
      </c>
    </row>
    <row r="551" spans="1:9" x14ac:dyDescent="0.3">
      <c r="A551" s="1">
        <v>45771</v>
      </c>
      <c r="B551" t="s">
        <v>777</v>
      </c>
      <c r="C551" t="s">
        <v>24</v>
      </c>
      <c r="D551" t="s">
        <v>28</v>
      </c>
      <c r="E551" t="s">
        <v>17</v>
      </c>
      <c r="F551" t="s">
        <v>18</v>
      </c>
      <c r="G551">
        <v>95</v>
      </c>
      <c r="H551">
        <v>55000</v>
      </c>
      <c r="I551">
        <v>5225000</v>
      </c>
    </row>
    <row r="552" spans="1:9" x14ac:dyDescent="0.3">
      <c r="A552" s="1">
        <v>45911</v>
      </c>
      <c r="B552" t="s">
        <v>817</v>
      </c>
      <c r="C552" t="s">
        <v>10</v>
      </c>
      <c r="D552" t="s">
        <v>191</v>
      </c>
      <c r="E552" t="s">
        <v>57</v>
      </c>
      <c r="F552" t="s">
        <v>22</v>
      </c>
      <c r="G552">
        <v>95</v>
      </c>
      <c r="H552">
        <v>75000</v>
      </c>
      <c r="I552">
        <v>7125000</v>
      </c>
    </row>
    <row r="553" spans="1:9" x14ac:dyDescent="0.3">
      <c r="A553" s="1">
        <v>45787</v>
      </c>
      <c r="B553" t="s">
        <v>911</v>
      </c>
      <c r="C553" t="s">
        <v>53</v>
      </c>
      <c r="D553" t="s">
        <v>28</v>
      </c>
      <c r="E553" t="s">
        <v>17</v>
      </c>
      <c r="F553" t="s">
        <v>18</v>
      </c>
      <c r="G553">
        <v>95</v>
      </c>
      <c r="H553">
        <v>65000</v>
      </c>
      <c r="I553">
        <v>6175000</v>
      </c>
    </row>
    <row r="554" spans="1:9" x14ac:dyDescent="0.3">
      <c r="A554" s="1">
        <v>45767</v>
      </c>
      <c r="B554" t="s">
        <v>994</v>
      </c>
      <c r="C554" t="s">
        <v>15</v>
      </c>
      <c r="D554" t="s">
        <v>305</v>
      </c>
      <c r="E554" t="s">
        <v>32</v>
      </c>
      <c r="F554" t="s">
        <v>22</v>
      </c>
      <c r="G554">
        <v>95</v>
      </c>
      <c r="H554">
        <v>120000</v>
      </c>
      <c r="I554">
        <v>11400000</v>
      </c>
    </row>
    <row r="555" spans="1:9" x14ac:dyDescent="0.3">
      <c r="A555" s="1">
        <v>45895</v>
      </c>
      <c r="B555" t="s">
        <v>1160</v>
      </c>
      <c r="C555" t="s">
        <v>53</v>
      </c>
      <c r="D555" t="s">
        <v>104</v>
      </c>
      <c r="E555" t="s">
        <v>26</v>
      </c>
      <c r="F555" t="s">
        <v>13</v>
      </c>
      <c r="G555">
        <v>95</v>
      </c>
      <c r="H555">
        <v>65000</v>
      </c>
      <c r="I555">
        <v>6175000</v>
      </c>
    </row>
    <row r="556" spans="1:9" x14ac:dyDescent="0.3">
      <c r="A556" s="1">
        <v>45792</v>
      </c>
      <c r="B556" t="s">
        <v>173</v>
      </c>
      <c r="C556" t="s">
        <v>53</v>
      </c>
      <c r="D556" t="s">
        <v>71</v>
      </c>
      <c r="E556" t="s">
        <v>21</v>
      </c>
      <c r="F556" t="s">
        <v>33</v>
      </c>
      <c r="G556">
        <v>96</v>
      </c>
      <c r="H556">
        <v>65000</v>
      </c>
      <c r="I556">
        <v>6240000</v>
      </c>
    </row>
    <row r="557" spans="1:9" x14ac:dyDescent="0.3">
      <c r="A557" s="1">
        <v>45957</v>
      </c>
      <c r="B557" t="s">
        <v>225</v>
      </c>
      <c r="C557" t="s">
        <v>24</v>
      </c>
      <c r="D557" t="s">
        <v>81</v>
      </c>
      <c r="E557" t="s">
        <v>32</v>
      </c>
      <c r="F557" t="s">
        <v>22</v>
      </c>
      <c r="G557">
        <v>96</v>
      </c>
      <c r="H557">
        <v>55000</v>
      </c>
      <c r="I557">
        <v>5280000</v>
      </c>
    </row>
    <row r="558" spans="1:9" x14ac:dyDescent="0.3">
      <c r="A558" s="1">
        <v>45681</v>
      </c>
      <c r="B558" t="s">
        <v>362</v>
      </c>
      <c r="C558" t="s">
        <v>15</v>
      </c>
      <c r="D558" t="s">
        <v>305</v>
      </c>
      <c r="E558" t="s">
        <v>32</v>
      </c>
      <c r="F558" t="s">
        <v>29</v>
      </c>
      <c r="G558">
        <v>96</v>
      </c>
      <c r="H558">
        <v>120000</v>
      </c>
      <c r="I558">
        <v>11520000</v>
      </c>
    </row>
    <row r="559" spans="1:9" x14ac:dyDescent="0.3">
      <c r="A559" s="1">
        <v>45847</v>
      </c>
      <c r="B559" t="s">
        <v>429</v>
      </c>
      <c r="C559" t="s">
        <v>53</v>
      </c>
      <c r="D559" t="s">
        <v>16</v>
      </c>
      <c r="E559" t="s">
        <v>17</v>
      </c>
      <c r="F559" t="s">
        <v>29</v>
      </c>
      <c r="G559">
        <v>96</v>
      </c>
      <c r="H559">
        <v>65000</v>
      </c>
      <c r="I559">
        <v>6240000</v>
      </c>
    </row>
    <row r="560" spans="1:9" x14ac:dyDescent="0.3">
      <c r="A560" s="1">
        <v>45789</v>
      </c>
      <c r="B560" t="s">
        <v>449</v>
      </c>
      <c r="C560" t="s">
        <v>10</v>
      </c>
      <c r="D560" t="s">
        <v>184</v>
      </c>
      <c r="E560" t="s">
        <v>57</v>
      </c>
      <c r="F560" t="s">
        <v>13</v>
      </c>
      <c r="G560">
        <v>96</v>
      </c>
      <c r="H560">
        <v>75000</v>
      </c>
      <c r="I560">
        <v>7200000</v>
      </c>
    </row>
    <row r="561" spans="1:9" x14ac:dyDescent="0.3">
      <c r="A561" s="1">
        <v>45667</v>
      </c>
      <c r="B561" t="s">
        <v>781</v>
      </c>
      <c r="C561" t="s">
        <v>10</v>
      </c>
      <c r="D561" t="s">
        <v>43</v>
      </c>
      <c r="E561" t="s">
        <v>26</v>
      </c>
      <c r="F561" t="s">
        <v>22</v>
      </c>
      <c r="G561">
        <v>96</v>
      </c>
      <c r="H561">
        <v>75000</v>
      </c>
      <c r="I561">
        <v>7200000</v>
      </c>
    </row>
    <row r="562" spans="1:9" x14ac:dyDescent="0.3">
      <c r="A562" s="1">
        <v>45733</v>
      </c>
      <c r="B562" t="s">
        <v>834</v>
      </c>
      <c r="C562" t="s">
        <v>10</v>
      </c>
      <c r="D562" t="s">
        <v>51</v>
      </c>
      <c r="E562" t="s">
        <v>36</v>
      </c>
      <c r="F562" t="s">
        <v>22</v>
      </c>
      <c r="G562">
        <v>96</v>
      </c>
      <c r="H562">
        <v>75000</v>
      </c>
      <c r="I562">
        <v>7200000</v>
      </c>
    </row>
    <row r="563" spans="1:9" x14ac:dyDescent="0.3">
      <c r="A563" s="1">
        <v>45696</v>
      </c>
      <c r="B563" t="s">
        <v>875</v>
      </c>
      <c r="C563" t="s">
        <v>15</v>
      </c>
      <c r="D563" t="s">
        <v>68</v>
      </c>
      <c r="E563" t="s">
        <v>21</v>
      </c>
      <c r="F563" t="s">
        <v>29</v>
      </c>
      <c r="G563">
        <v>96</v>
      </c>
      <c r="H563">
        <v>120000</v>
      </c>
      <c r="I563">
        <v>11520000</v>
      </c>
    </row>
    <row r="564" spans="1:9" x14ac:dyDescent="0.3">
      <c r="A564" s="1">
        <v>45855</v>
      </c>
      <c r="B564" t="s">
        <v>1017</v>
      </c>
      <c r="C564" t="s">
        <v>53</v>
      </c>
      <c r="D564" t="s">
        <v>201</v>
      </c>
      <c r="E564" t="s">
        <v>21</v>
      </c>
      <c r="F564" t="s">
        <v>33</v>
      </c>
      <c r="G564">
        <v>96</v>
      </c>
      <c r="H564">
        <v>65000</v>
      </c>
      <c r="I564">
        <v>6240000</v>
      </c>
    </row>
    <row r="565" spans="1:9" x14ac:dyDescent="0.3">
      <c r="A565" s="1">
        <v>45817</v>
      </c>
      <c r="B565" t="s">
        <v>1057</v>
      </c>
      <c r="C565" t="s">
        <v>10</v>
      </c>
      <c r="D565" t="s">
        <v>25</v>
      </c>
      <c r="E565" t="s">
        <v>26</v>
      </c>
      <c r="F565" t="s">
        <v>18</v>
      </c>
      <c r="G565">
        <v>96</v>
      </c>
      <c r="H565">
        <v>75000</v>
      </c>
      <c r="I565">
        <v>7200000</v>
      </c>
    </row>
    <row r="566" spans="1:9" x14ac:dyDescent="0.3">
      <c r="A566" s="1">
        <v>45706</v>
      </c>
      <c r="B566" t="s">
        <v>157</v>
      </c>
      <c r="C566" t="s">
        <v>53</v>
      </c>
      <c r="D566" t="s">
        <v>119</v>
      </c>
      <c r="E566" t="s">
        <v>36</v>
      </c>
      <c r="F566" t="s">
        <v>13</v>
      </c>
      <c r="G566">
        <v>97</v>
      </c>
      <c r="H566">
        <v>65000</v>
      </c>
      <c r="I566">
        <v>6305000</v>
      </c>
    </row>
    <row r="567" spans="1:9" x14ac:dyDescent="0.3">
      <c r="A567" s="1">
        <v>45958</v>
      </c>
      <c r="B567" t="s">
        <v>539</v>
      </c>
      <c r="C567" t="s">
        <v>24</v>
      </c>
      <c r="D567" t="s">
        <v>184</v>
      </c>
      <c r="E567" t="s">
        <v>57</v>
      </c>
      <c r="F567" t="s">
        <v>22</v>
      </c>
      <c r="G567">
        <v>97</v>
      </c>
      <c r="H567">
        <v>55000</v>
      </c>
      <c r="I567">
        <v>5335000</v>
      </c>
    </row>
    <row r="568" spans="1:9" x14ac:dyDescent="0.3">
      <c r="A568" s="1">
        <v>45931</v>
      </c>
      <c r="B568" t="s">
        <v>671</v>
      </c>
      <c r="C568" t="s">
        <v>15</v>
      </c>
      <c r="D568" t="s">
        <v>49</v>
      </c>
      <c r="E568" t="s">
        <v>26</v>
      </c>
      <c r="F568" t="s">
        <v>33</v>
      </c>
      <c r="G568">
        <v>97</v>
      </c>
      <c r="H568">
        <v>120000</v>
      </c>
      <c r="I568">
        <v>11640000</v>
      </c>
    </row>
    <row r="569" spans="1:9" x14ac:dyDescent="0.3">
      <c r="A569" s="1">
        <v>45765</v>
      </c>
      <c r="B569" t="s">
        <v>706</v>
      </c>
      <c r="C569" t="s">
        <v>53</v>
      </c>
      <c r="D569" t="s">
        <v>63</v>
      </c>
      <c r="E569" t="s">
        <v>32</v>
      </c>
      <c r="F569" t="s">
        <v>22</v>
      </c>
      <c r="G569">
        <v>97</v>
      </c>
      <c r="H569">
        <v>65000</v>
      </c>
      <c r="I569">
        <v>6305000</v>
      </c>
    </row>
    <row r="570" spans="1:9" x14ac:dyDescent="0.3">
      <c r="A570" s="1">
        <v>45792</v>
      </c>
      <c r="B570" t="s">
        <v>840</v>
      </c>
      <c r="C570" t="s">
        <v>10</v>
      </c>
      <c r="D570" t="s">
        <v>54</v>
      </c>
      <c r="E570" t="s">
        <v>21</v>
      </c>
      <c r="F570" t="s">
        <v>22</v>
      </c>
      <c r="G570">
        <v>97</v>
      </c>
      <c r="H570">
        <v>75000</v>
      </c>
      <c r="I570">
        <v>7275000</v>
      </c>
    </row>
    <row r="571" spans="1:9" x14ac:dyDescent="0.3">
      <c r="A571" s="1">
        <v>45952</v>
      </c>
      <c r="B571" t="s">
        <v>941</v>
      </c>
      <c r="C571" t="s">
        <v>10</v>
      </c>
      <c r="D571" t="s">
        <v>136</v>
      </c>
      <c r="E571" t="s">
        <v>36</v>
      </c>
      <c r="F571" t="s">
        <v>13</v>
      </c>
      <c r="G571">
        <v>97</v>
      </c>
      <c r="H571">
        <v>75000</v>
      </c>
      <c r="I571">
        <v>7275000</v>
      </c>
    </row>
    <row r="572" spans="1:9" x14ac:dyDescent="0.3">
      <c r="A572" s="1">
        <v>45910</v>
      </c>
      <c r="B572" t="s">
        <v>1001</v>
      </c>
      <c r="C572" t="s">
        <v>10</v>
      </c>
      <c r="D572" t="s">
        <v>47</v>
      </c>
      <c r="E572" t="s">
        <v>41</v>
      </c>
      <c r="F572" t="s">
        <v>22</v>
      </c>
      <c r="G572">
        <v>97</v>
      </c>
      <c r="H572">
        <v>75000</v>
      </c>
      <c r="I572">
        <v>7275000</v>
      </c>
    </row>
    <row r="573" spans="1:9" x14ac:dyDescent="0.3">
      <c r="A573" s="1">
        <v>45747</v>
      </c>
      <c r="B573" t="s">
        <v>146</v>
      </c>
      <c r="C573" t="s">
        <v>15</v>
      </c>
      <c r="D573" t="s">
        <v>61</v>
      </c>
      <c r="E573" t="s">
        <v>17</v>
      </c>
      <c r="F573" t="s">
        <v>22</v>
      </c>
      <c r="G573">
        <v>98</v>
      </c>
      <c r="H573">
        <v>120000</v>
      </c>
      <c r="I573">
        <v>11760000</v>
      </c>
    </row>
    <row r="574" spans="1:9" x14ac:dyDescent="0.3">
      <c r="A574" s="1">
        <v>45859</v>
      </c>
      <c r="B574" t="s">
        <v>380</v>
      </c>
      <c r="C574" t="s">
        <v>10</v>
      </c>
      <c r="D574" t="s">
        <v>83</v>
      </c>
      <c r="E574" t="s">
        <v>21</v>
      </c>
      <c r="F574" t="s">
        <v>22</v>
      </c>
      <c r="G574">
        <v>98</v>
      </c>
      <c r="H574">
        <v>75000</v>
      </c>
      <c r="I574">
        <v>7350000</v>
      </c>
    </row>
    <row r="575" spans="1:9" x14ac:dyDescent="0.3">
      <c r="A575" s="1">
        <v>45784</v>
      </c>
      <c r="B575" t="s">
        <v>516</v>
      </c>
      <c r="C575" t="s">
        <v>10</v>
      </c>
      <c r="D575" t="s">
        <v>51</v>
      </c>
      <c r="E575" t="s">
        <v>36</v>
      </c>
      <c r="F575" t="s">
        <v>33</v>
      </c>
      <c r="G575">
        <v>98</v>
      </c>
      <c r="H575">
        <v>75000</v>
      </c>
      <c r="I575">
        <v>7350000</v>
      </c>
    </row>
    <row r="576" spans="1:9" x14ac:dyDescent="0.3">
      <c r="A576" s="1">
        <v>45689</v>
      </c>
      <c r="B576" t="s">
        <v>517</v>
      </c>
      <c r="C576" t="s">
        <v>15</v>
      </c>
      <c r="D576" t="s">
        <v>152</v>
      </c>
      <c r="E576" t="s">
        <v>36</v>
      </c>
      <c r="F576" t="s">
        <v>29</v>
      </c>
      <c r="G576">
        <v>98</v>
      </c>
      <c r="H576">
        <v>120000</v>
      </c>
      <c r="I576">
        <v>11760000</v>
      </c>
    </row>
    <row r="577" spans="1:9" x14ac:dyDescent="0.3">
      <c r="A577" s="1">
        <v>45892</v>
      </c>
      <c r="B577" t="s">
        <v>676</v>
      </c>
      <c r="C577" t="s">
        <v>24</v>
      </c>
      <c r="D577" t="s">
        <v>141</v>
      </c>
      <c r="E577" t="s">
        <v>21</v>
      </c>
      <c r="F577" t="s">
        <v>13</v>
      </c>
      <c r="G577">
        <v>98</v>
      </c>
      <c r="H577">
        <v>55000</v>
      </c>
      <c r="I577">
        <v>5390000</v>
      </c>
    </row>
    <row r="578" spans="1:9" x14ac:dyDescent="0.3">
      <c r="A578" s="1">
        <v>45978</v>
      </c>
      <c r="B578" t="s">
        <v>707</v>
      </c>
      <c r="C578" t="s">
        <v>15</v>
      </c>
      <c r="D578" t="s">
        <v>93</v>
      </c>
      <c r="E578" t="s">
        <v>41</v>
      </c>
      <c r="F578" t="s">
        <v>13</v>
      </c>
      <c r="G578">
        <v>98</v>
      </c>
      <c r="H578">
        <v>120000</v>
      </c>
      <c r="I578">
        <v>11760000</v>
      </c>
    </row>
    <row r="579" spans="1:9" x14ac:dyDescent="0.3">
      <c r="A579" s="1">
        <v>46019</v>
      </c>
      <c r="B579" t="s">
        <v>719</v>
      </c>
      <c r="C579" t="s">
        <v>10</v>
      </c>
      <c r="D579" t="s">
        <v>116</v>
      </c>
      <c r="E579" t="s">
        <v>57</v>
      </c>
      <c r="F579" t="s">
        <v>22</v>
      </c>
      <c r="G579">
        <v>98</v>
      </c>
      <c r="H579">
        <v>75000</v>
      </c>
      <c r="I579">
        <v>7350000</v>
      </c>
    </row>
    <row r="580" spans="1:9" x14ac:dyDescent="0.3">
      <c r="A580" s="1">
        <v>45870</v>
      </c>
      <c r="B580" t="s">
        <v>737</v>
      </c>
      <c r="C580" t="s">
        <v>15</v>
      </c>
      <c r="D580" t="s">
        <v>61</v>
      </c>
      <c r="E580" t="s">
        <v>17</v>
      </c>
      <c r="F580" t="s">
        <v>29</v>
      </c>
      <c r="G580">
        <v>98</v>
      </c>
      <c r="H580">
        <v>120000</v>
      </c>
      <c r="I580">
        <v>11760000</v>
      </c>
    </row>
    <row r="581" spans="1:9" x14ac:dyDescent="0.3">
      <c r="A581" s="1">
        <v>45771</v>
      </c>
      <c r="B581" t="s">
        <v>763</v>
      </c>
      <c r="C581" t="s">
        <v>53</v>
      </c>
      <c r="D581" t="s">
        <v>51</v>
      </c>
      <c r="E581" t="s">
        <v>36</v>
      </c>
      <c r="F581" t="s">
        <v>33</v>
      </c>
      <c r="G581">
        <v>98</v>
      </c>
      <c r="H581">
        <v>65000</v>
      </c>
      <c r="I581">
        <v>6370000</v>
      </c>
    </row>
    <row r="582" spans="1:9" x14ac:dyDescent="0.3">
      <c r="A582" s="1">
        <v>45891</v>
      </c>
      <c r="B582" t="s">
        <v>788</v>
      </c>
      <c r="C582" t="s">
        <v>15</v>
      </c>
      <c r="D582" t="s">
        <v>79</v>
      </c>
      <c r="E582" t="s">
        <v>36</v>
      </c>
      <c r="F582" t="s">
        <v>22</v>
      </c>
      <c r="G582">
        <v>98</v>
      </c>
      <c r="H582">
        <v>120000</v>
      </c>
      <c r="I582">
        <v>11760000</v>
      </c>
    </row>
    <row r="583" spans="1:9" x14ac:dyDescent="0.3">
      <c r="A583" s="1">
        <v>45739</v>
      </c>
      <c r="B583" t="s">
        <v>845</v>
      </c>
      <c r="C583" t="s">
        <v>24</v>
      </c>
      <c r="D583" t="s">
        <v>25</v>
      </c>
      <c r="E583" t="s">
        <v>26</v>
      </c>
      <c r="F583" t="s">
        <v>33</v>
      </c>
      <c r="G583">
        <v>98</v>
      </c>
      <c r="H583">
        <v>55000</v>
      </c>
      <c r="I583">
        <v>5390000</v>
      </c>
    </row>
    <row r="584" spans="1:9" x14ac:dyDescent="0.3">
      <c r="A584" s="1">
        <v>45830</v>
      </c>
      <c r="B584" t="s">
        <v>1082</v>
      </c>
      <c r="C584" t="s">
        <v>15</v>
      </c>
      <c r="D584" t="s">
        <v>191</v>
      </c>
      <c r="E584" t="s">
        <v>57</v>
      </c>
      <c r="F584" t="s">
        <v>18</v>
      </c>
      <c r="G584">
        <v>98</v>
      </c>
      <c r="H584">
        <v>120000</v>
      </c>
      <c r="I584">
        <v>11760000</v>
      </c>
    </row>
    <row r="585" spans="1:9" x14ac:dyDescent="0.3">
      <c r="A585" s="1">
        <v>45709</v>
      </c>
      <c r="B585" t="s">
        <v>1213</v>
      </c>
      <c r="C585" t="s">
        <v>10</v>
      </c>
      <c r="D585" t="s">
        <v>104</v>
      </c>
      <c r="E585" t="s">
        <v>26</v>
      </c>
      <c r="F585" t="s">
        <v>33</v>
      </c>
      <c r="G585">
        <v>98</v>
      </c>
      <c r="H585">
        <v>75000</v>
      </c>
      <c r="I585">
        <v>7350000</v>
      </c>
    </row>
    <row r="586" spans="1:9" x14ac:dyDescent="0.3">
      <c r="A586" s="1">
        <v>45906</v>
      </c>
      <c r="B586" t="s">
        <v>430</v>
      </c>
      <c r="C586" t="s">
        <v>15</v>
      </c>
      <c r="D586" t="s">
        <v>51</v>
      </c>
      <c r="E586" t="s">
        <v>36</v>
      </c>
      <c r="F586" t="s">
        <v>13</v>
      </c>
      <c r="G586">
        <v>99</v>
      </c>
      <c r="H586">
        <v>120000</v>
      </c>
      <c r="I586">
        <v>11880000</v>
      </c>
    </row>
    <row r="587" spans="1:9" x14ac:dyDescent="0.3">
      <c r="A587" s="1">
        <v>45874</v>
      </c>
      <c r="B587" t="s">
        <v>1098</v>
      </c>
      <c r="C587" t="s">
        <v>15</v>
      </c>
      <c r="D587" t="s">
        <v>16</v>
      </c>
      <c r="E587" t="s">
        <v>17</v>
      </c>
      <c r="F587" t="s">
        <v>13</v>
      </c>
      <c r="G587">
        <v>99</v>
      </c>
      <c r="H587">
        <v>120000</v>
      </c>
      <c r="I587">
        <v>11880000</v>
      </c>
    </row>
    <row r="588" spans="1:9" x14ac:dyDescent="0.3">
      <c r="A588" s="1">
        <v>45835</v>
      </c>
      <c r="B588" t="s">
        <v>1237</v>
      </c>
      <c r="C588" t="s">
        <v>53</v>
      </c>
      <c r="D588" t="s">
        <v>40</v>
      </c>
      <c r="E588" t="s">
        <v>41</v>
      </c>
      <c r="F588" t="s">
        <v>33</v>
      </c>
      <c r="G588">
        <v>99</v>
      </c>
      <c r="H588">
        <v>65000</v>
      </c>
      <c r="I588">
        <v>6435000</v>
      </c>
    </row>
    <row r="589" spans="1:9" x14ac:dyDescent="0.3">
      <c r="A589" s="1">
        <v>45905</v>
      </c>
      <c r="B589" t="s">
        <v>291</v>
      </c>
      <c r="C589" t="s">
        <v>24</v>
      </c>
      <c r="D589" t="s">
        <v>99</v>
      </c>
      <c r="E589" t="s">
        <v>32</v>
      </c>
      <c r="F589" t="s">
        <v>18</v>
      </c>
      <c r="G589">
        <v>100</v>
      </c>
      <c r="H589">
        <v>55000</v>
      </c>
      <c r="I589">
        <v>5500000</v>
      </c>
    </row>
    <row r="590" spans="1:9" x14ac:dyDescent="0.3">
      <c r="A590" s="1">
        <v>45807</v>
      </c>
      <c r="B590" t="s">
        <v>752</v>
      </c>
      <c r="C590" t="s">
        <v>24</v>
      </c>
      <c r="D590" t="s">
        <v>11</v>
      </c>
      <c r="E590" t="s">
        <v>12</v>
      </c>
      <c r="F590" t="s">
        <v>33</v>
      </c>
      <c r="G590">
        <v>100</v>
      </c>
      <c r="H590">
        <v>55000</v>
      </c>
      <c r="I590">
        <v>5500000</v>
      </c>
    </row>
    <row r="591" spans="1:9" x14ac:dyDescent="0.3">
      <c r="A591" s="1">
        <v>46000</v>
      </c>
      <c r="B591" t="s">
        <v>887</v>
      </c>
      <c r="C591" t="s">
        <v>24</v>
      </c>
      <c r="D591" t="s">
        <v>201</v>
      </c>
      <c r="E591" t="s">
        <v>21</v>
      </c>
      <c r="F591" t="s">
        <v>29</v>
      </c>
      <c r="G591">
        <v>100</v>
      </c>
      <c r="H591">
        <v>55000</v>
      </c>
      <c r="I591">
        <v>5500000</v>
      </c>
    </row>
    <row r="592" spans="1:9" x14ac:dyDescent="0.3">
      <c r="A592" s="1">
        <v>45976</v>
      </c>
      <c r="B592" t="s">
        <v>930</v>
      </c>
      <c r="C592" t="s">
        <v>24</v>
      </c>
      <c r="D592" t="s">
        <v>47</v>
      </c>
      <c r="E592" t="s">
        <v>41</v>
      </c>
      <c r="F592" t="s">
        <v>33</v>
      </c>
      <c r="G592">
        <v>100</v>
      </c>
      <c r="H592">
        <v>55000</v>
      </c>
      <c r="I592">
        <v>5500000</v>
      </c>
    </row>
    <row r="593" spans="1:9" x14ac:dyDescent="0.3">
      <c r="A593" s="1">
        <v>45733</v>
      </c>
      <c r="B593" t="s">
        <v>1101</v>
      </c>
      <c r="C593" t="s">
        <v>15</v>
      </c>
      <c r="D593" t="s">
        <v>251</v>
      </c>
      <c r="E593" t="s">
        <v>12</v>
      </c>
      <c r="F593" t="s">
        <v>13</v>
      </c>
      <c r="G593">
        <v>100</v>
      </c>
      <c r="H593">
        <v>120000</v>
      </c>
      <c r="I593">
        <v>12000000</v>
      </c>
    </row>
    <row r="594" spans="1:9" x14ac:dyDescent="0.3">
      <c r="A594" s="1">
        <v>45903</v>
      </c>
      <c r="B594" t="s">
        <v>560</v>
      </c>
      <c r="C594" t="s">
        <v>15</v>
      </c>
      <c r="D594" t="s">
        <v>79</v>
      </c>
      <c r="E594" t="s">
        <v>36</v>
      </c>
      <c r="F594" t="s">
        <v>18</v>
      </c>
      <c r="G594">
        <v>101</v>
      </c>
      <c r="H594">
        <v>120000</v>
      </c>
      <c r="I594">
        <v>12120000</v>
      </c>
    </row>
    <row r="595" spans="1:9" x14ac:dyDescent="0.3">
      <c r="A595" s="1">
        <v>45932</v>
      </c>
      <c r="B595" t="s">
        <v>69</v>
      </c>
      <c r="C595" t="s">
        <v>10</v>
      </c>
      <c r="D595" t="s">
        <v>54</v>
      </c>
      <c r="E595" t="s">
        <v>21</v>
      </c>
      <c r="F595" t="s">
        <v>13</v>
      </c>
      <c r="G595">
        <v>102</v>
      </c>
      <c r="H595">
        <v>75000</v>
      </c>
      <c r="I595">
        <v>7650000</v>
      </c>
    </row>
    <row r="596" spans="1:9" x14ac:dyDescent="0.3">
      <c r="A596" s="1">
        <v>45874</v>
      </c>
      <c r="B596" t="s">
        <v>1035</v>
      </c>
      <c r="C596" t="s">
        <v>15</v>
      </c>
      <c r="D596" t="s">
        <v>91</v>
      </c>
      <c r="E596" t="s">
        <v>17</v>
      </c>
      <c r="F596" t="s">
        <v>29</v>
      </c>
      <c r="G596">
        <v>102</v>
      </c>
      <c r="H596">
        <v>120000</v>
      </c>
      <c r="I596">
        <v>12240000</v>
      </c>
    </row>
    <row r="597" spans="1:9" x14ac:dyDescent="0.3">
      <c r="A597" s="1">
        <v>45879</v>
      </c>
      <c r="B597" t="s">
        <v>1268</v>
      </c>
      <c r="C597" t="s">
        <v>53</v>
      </c>
      <c r="D597" t="s">
        <v>129</v>
      </c>
      <c r="E597" t="s">
        <v>57</v>
      </c>
      <c r="F597" t="s">
        <v>13</v>
      </c>
      <c r="G597">
        <v>102</v>
      </c>
      <c r="H597">
        <v>65000</v>
      </c>
      <c r="I597">
        <v>6630000</v>
      </c>
    </row>
    <row r="598" spans="1:9" x14ac:dyDescent="0.3">
      <c r="A598" s="1">
        <v>45901</v>
      </c>
      <c r="B598" t="s">
        <v>491</v>
      </c>
      <c r="C598" t="s">
        <v>15</v>
      </c>
      <c r="D598" t="s">
        <v>104</v>
      </c>
      <c r="E598" t="s">
        <v>26</v>
      </c>
      <c r="F598" t="s">
        <v>33</v>
      </c>
      <c r="G598">
        <v>103</v>
      </c>
      <c r="H598">
        <v>120000</v>
      </c>
      <c r="I598">
        <v>12360000</v>
      </c>
    </row>
    <row r="599" spans="1:9" x14ac:dyDescent="0.3">
      <c r="A599" s="1">
        <v>45689</v>
      </c>
      <c r="B599" t="s">
        <v>564</v>
      </c>
      <c r="C599" t="s">
        <v>10</v>
      </c>
      <c r="D599" t="s">
        <v>43</v>
      </c>
      <c r="E599" t="s">
        <v>26</v>
      </c>
      <c r="F599" t="s">
        <v>22</v>
      </c>
      <c r="G599">
        <v>103</v>
      </c>
      <c r="H599">
        <v>75000</v>
      </c>
      <c r="I599">
        <v>7725000</v>
      </c>
    </row>
    <row r="600" spans="1:9" x14ac:dyDescent="0.3">
      <c r="A600" s="1">
        <v>45991</v>
      </c>
      <c r="B600" t="s">
        <v>570</v>
      </c>
      <c r="C600" t="s">
        <v>53</v>
      </c>
      <c r="D600" t="s">
        <v>28</v>
      </c>
      <c r="E600" t="s">
        <v>17</v>
      </c>
      <c r="F600" t="s">
        <v>13</v>
      </c>
      <c r="G600">
        <v>103</v>
      </c>
      <c r="H600">
        <v>65000</v>
      </c>
      <c r="I600">
        <v>6695000</v>
      </c>
    </row>
    <row r="601" spans="1:9" x14ac:dyDescent="0.3">
      <c r="A601" s="1">
        <v>45807</v>
      </c>
      <c r="B601" t="s">
        <v>680</v>
      </c>
      <c r="C601" t="s">
        <v>15</v>
      </c>
      <c r="D601" t="s">
        <v>56</v>
      </c>
      <c r="E601" t="s">
        <v>57</v>
      </c>
      <c r="F601" t="s">
        <v>22</v>
      </c>
      <c r="G601">
        <v>103</v>
      </c>
      <c r="H601">
        <v>120000</v>
      </c>
      <c r="I601">
        <v>12360000</v>
      </c>
    </row>
    <row r="602" spans="1:9" x14ac:dyDescent="0.3">
      <c r="A602" s="1">
        <v>46008</v>
      </c>
      <c r="B602" t="s">
        <v>849</v>
      </c>
      <c r="C602" t="s">
        <v>24</v>
      </c>
      <c r="D602" t="s">
        <v>38</v>
      </c>
      <c r="E602" t="s">
        <v>17</v>
      </c>
      <c r="F602" t="s">
        <v>13</v>
      </c>
      <c r="G602">
        <v>103</v>
      </c>
      <c r="H602">
        <v>55000</v>
      </c>
      <c r="I602">
        <v>5665000</v>
      </c>
    </row>
    <row r="603" spans="1:9" x14ac:dyDescent="0.3">
      <c r="A603" s="1">
        <v>45852</v>
      </c>
      <c r="B603" t="s">
        <v>1034</v>
      </c>
      <c r="C603" t="s">
        <v>24</v>
      </c>
      <c r="D603" t="s">
        <v>119</v>
      </c>
      <c r="E603" t="s">
        <v>36</v>
      </c>
      <c r="F603" t="s">
        <v>29</v>
      </c>
      <c r="G603">
        <v>103</v>
      </c>
      <c r="H603">
        <v>55000</v>
      </c>
      <c r="I603">
        <v>5665000</v>
      </c>
    </row>
    <row r="604" spans="1:9" x14ac:dyDescent="0.3">
      <c r="A604" s="1">
        <v>46015</v>
      </c>
      <c r="B604" t="s">
        <v>1086</v>
      </c>
      <c r="C604" t="s">
        <v>53</v>
      </c>
      <c r="D604" t="s">
        <v>20</v>
      </c>
      <c r="E604" t="s">
        <v>21</v>
      </c>
      <c r="F604" t="s">
        <v>22</v>
      </c>
      <c r="G604">
        <v>103</v>
      </c>
      <c r="H604">
        <v>65000</v>
      </c>
      <c r="I604">
        <v>6695000</v>
      </c>
    </row>
    <row r="605" spans="1:9" x14ac:dyDescent="0.3">
      <c r="A605" s="1">
        <v>45920</v>
      </c>
      <c r="B605" t="s">
        <v>1202</v>
      </c>
      <c r="C605" t="s">
        <v>24</v>
      </c>
      <c r="D605" t="s">
        <v>51</v>
      </c>
      <c r="E605" t="s">
        <v>36</v>
      </c>
      <c r="F605" t="s">
        <v>33</v>
      </c>
      <c r="G605">
        <v>103</v>
      </c>
      <c r="H605">
        <v>55000</v>
      </c>
      <c r="I605">
        <v>5665000</v>
      </c>
    </row>
    <row r="606" spans="1:9" x14ac:dyDescent="0.3">
      <c r="A606" s="1">
        <v>45854</v>
      </c>
      <c r="B606" t="s">
        <v>215</v>
      </c>
      <c r="C606" t="s">
        <v>10</v>
      </c>
      <c r="D606" t="s">
        <v>43</v>
      </c>
      <c r="E606" t="s">
        <v>26</v>
      </c>
      <c r="F606" t="s">
        <v>22</v>
      </c>
      <c r="G606">
        <v>104</v>
      </c>
      <c r="H606">
        <v>75000</v>
      </c>
      <c r="I606">
        <v>7800000</v>
      </c>
    </row>
    <row r="607" spans="1:9" x14ac:dyDescent="0.3">
      <c r="A607" s="1">
        <v>45784</v>
      </c>
      <c r="B607" t="s">
        <v>537</v>
      </c>
      <c r="C607" t="s">
        <v>24</v>
      </c>
      <c r="D607" t="s">
        <v>133</v>
      </c>
      <c r="E607" t="s">
        <v>17</v>
      </c>
      <c r="F607" t="s">
        <v>18</v>
      </c>
      <c r="G607">
        <v>104</v>
      </c>
      <c r="H607">
        <v>55000</v>
      </c>
      <c r="I607">
        <v>5720000</v>
      </c>
    </row>
    <row r="608" spans="1:9" x14ac:dyDescent="0.3">
      <c r="A608" s="1">
        <v>45831</v>
      </c>
      <c r="B608" t="s">
        <v>618</v>
      </c>
      <c r="C608" t="s">
        <v>24</v>
      </c>
      <c r="D608" t="s">
        <v>51</v>
      </c>
      <c r="E608" t="s">
        <v>36</v>
      </c>
      <c r="F608" t="s">
        <v>13</v>
      </c>
      <c r="G608">
        <v>104</v>
      </c>
      <c r="H608">
        <v>55000</v>
      </c>
      <c r="I608">
        <v>5720000</v>
      </c>
    </row>
    <row r="609" spans="1:9" x14ac:dyDescent="0.3">
      <c r="A609" s="1">
        <v>45679</v>
      </c>
      <c r="B609" t="s">
        <v>683</v>
      </c>
      <c r="C609" t="s">
        <v>53</v>
      </c>
      <c r="D609" t="s">
        <v>152</v>
      </c>
      <c r="E609" t="s">
        <v>36</v>
      </c>
      <c r="F609" t="s">
        <v>18</v>
      </c>
      <c r="G609">
        <v>104</v>
      </c>
      <c r="H609">
        <v>65000</v>
      </c>
      <c r="I609">
        <v>6760000</v>
      </c>
    </row>
    <row r="610" spans="1:9" x14ac:dyDescent="0.3">
      <c r="A610" s="1">
        <v>46018</v>
      </c>
      <c r="B610" t="s">
        <v>686</v>
      </c>
      <c r="C610" t="s">
        <v>15</v>
      </c>
      <c r="D610" t="s">
        <v>152</v>
      </c>
      <c r="E610" t="s">
        <v>36</v>
      </c>
      <c r="F610" t="s">
        <v>13</v>
      </c>
      <c r="G610">
        <v>104</v>
      </c>
      <c r="H610">
        <v>120000</v>
      </c>
      <c r="I610">
        <v>12480000</v>
      </c>
    </row>
    <row r="611" spans="1:9" x14ac:dyDescent="0.3">
      <c r="A611" s="1">
        <v>45883</v>
      </c>
      <c r="B611" t="s">
        <v>839</v>
      </c>
      <c r="C611" t="s">
        <v>10</v>
      </c>
      <c r="D611" t="s">
        <v>71</v>
      </c>
      <c r="E611" t="s">
        <v>21</v>
      </c>
      <c r="F611" t="s">
        <v>29</v>
      </c>
      <c r="G611">
        <v>104</v>
      </c>
      <c r="H611">
        <v>75000</v>
      </c>
      <c r="I611">
        <v>7800000</v>
      </c>
    </row>
    <row r="612" spans="1:9" x14ac:dyDescent="0.3">
      <c r="A612" s="1">
        <v>45793</v>
      </c>
      <c r="B612" t="s">
        <v>874</v>
      </c>
      <c r="C612" t="s">
        <v>24</v>
      </c>
      <c r="D612" t="s">
        <v>38</v>
      </c>
      <c r="E612" t="s">
        <v>17</v>
      </c>
      <c r="F612" t="s">
        <v>33</v>
      </c>
      <c r="G612">
        <v>104</v>
      </c>
      <c r="H612">
        <v>55000</v>
      </c>
      <c r="I612">
        <v>5720000</v>
      </c>
    </row>
    <row r="613" spans="1:9" x14ac:dyDescent="0.3">
      <c r="A613" s="1">
        <v>45828</v>
      </c>
      <c r="B613" t="s">
        <v>1036</v>
      </c>
      <c r="C613" t="s">
        <v>53</v>
      </c>
      <c r="D613" t="s">
        <v>25</v>
      </c>
      <c r="E613" t="s">
        <v>26</v>
      </c>
      <c r="F613" t="s">
        <v>18</v>
      </c>
      <c r="G613">
        <v>104</v>
      </c>
      <c r="H613">
        <v>65000</v>
      </c>
      <c r="I613">
        <v>6760000</v>
      </c>
    </row>
    <row r="614" spans="1:9" x14ac:dyDescent="0.3">
      <c r="A614" s="1">
        <v>45711</v>
      </c>
      <c r="B614" t="s">
        <v>327</v>
      </c>
      <c r="C614" t="s">
        <v>53</v>
      </c>
      <c r="D614" t="s">
        <v>119</v>
      </c>
      <c r="E614" t="s">
        <v>36</v>
      </c>
      <c r="F614" t="s">
        <v>29</v>
      </c>
      <c r="G614">
        <v>105</v>
      </c>
      <c r="H614">
        <v>65000</v>
      </c>
      <c r="I614">
        <v>6825000</v>
      </c>
    </row>
    <row r="615" spans="1:9" x14ac:dyDescent="0.3">
      <c r="A615" s="1">
        <v>45720</v>
      </c>
      <c r="B615" t="s">
        <v>413</v>
      </c>
      <c r="C615" t="s">
        <v>15</v>
      </c>
      <c r="D615" t="s">
        <v>47</v>
      </c>
      <c r="E615" t="s">
        <v>41</v>
      </c>
      <c r="F615" t="s">
        <v>33</v>
      </c>
      <c r="G615">
        <v>105</v>
      </c>
      <c r="H615">
        <v>120000</v>
      </c>
      <c r="I615">
        <v>12600000</v>
      </c>
    </row>
    <row r="616" spans="1:9" x14ac:dyDescent="0.3">
      <c r="A616" s="1">
        <v>45792</v>
      </c>
      <c r="B616" t="s">
        <v>455</v>
      </c>
      <c r="C616" t="s">
        <v>15</v>
      </c>
      <c r="D616" t="s">
        <v>152</v>
      </c>
      <c r="E616" t="s">
        <v>36</v>
      </c>
      <c r="F616" t="s">
        <v>22</v>
      </c>
      <c r="G616">
        <v>105</v>
      </c>
      <c r="H616">
        <v>120000</v>
      </c>
      <c r="I616">
        <v>12600000</v>
      </c>
    </row>
    <row r="617" spans="1:9" x14ac:dyDescent="0.3">
      <c r="A617" s="1">
        <v>45667</v>
      </c>
      <c r="B617" t="s">
        <v>563</v>
      </c>
      <c r="C617" t="s">
        <v>10</v>
      </c>
      <c r="D617" t="s">
        <v>35</v>
      </c>
      <c r="E617" t="s">
        <v>36</v>
      </c>
      <c r="F617" t="s">
        <v>13</v>
      </c>
      <c r="G617">
        <v>105</v>
      </c>
      <c r="H617">
        <v>75000</v>
      </c>
      <c r="I617">
        <v>7875000</v>
      </c>
    </row>
    <row r="618" spans="1:9" x14ac:dyDescent="0.3">
      <c r="A618" s="1">
        <v>45930</v>
      </c>
      <c r="B618" t="s">
        <v>592</v>
      </c>
      <c r="C618" t="s">
        <v>53</v>
      </c>
      <c r="D618" t="s">
        <v>38</v>
      </c>
      <c r="E618" t="s">
        <v>17</v>
      </c>
      <c r="F618" t="s">
        <v>13</v>
      </c>
      <c r="G618">
        <v>105</v>
      </c>
      <c r="H618">
        <v>65000</v>
      </c>
      <c r="I618">
        <v>6825000</v>
      </c>
    </row>
    <row r="619" spans="1:9" x14ac:dyDescent="0.3">
      <c r="A619" s="1">
        <v>45795</v>
      </c>
      <c r="B619" t="s">
        <v>689</v>
      </c>
      <c r="C619" t="s">
        <v>10</v>
      </c>
      <c r="D619" t="s">
        <v>86</v>
      </c>
      <c r="E619" t="s">
        <v>12</v>
      </c>
      <c r="F619" t="s">
        <v>18</v>
      </c>
      <c r="G619">
        <v>105</v>
      </c>
      <c r="H619">
        <v>75000</v>
      </c>
      <c r="I619">
        <v>7875000</v>
      </c>
    </row>
    <row r="620" spans="1:9" x14ac:dyDescent="0.3">
      <c r="A620" s="1">
        <v>45731</v>
      </c>
      <c r="B620" t="s">
        <v>699</v>
      </c>
      <c r="C620" t="s">
        <v>15</v>
      </c>
      <c r="D620" t="s">
        <v>201</v>
      </c>
      <c r="E620" t="s">
        <v>21</v>
      </c>
      <c r="F620" t="s">
        <v>33</v>
      </c>
      <c r="G620">
        <v>105</v>
      </c>
      <c r="H620">
        <v>120000</v>
      </c>
      <c r="I620">
        <v>12600000</v>
      </c>
    </row>
    <row r="621" spans="1:9" x14ac:dyDescent="0.3">
      <c r="A621" s="1">
        <v>45978</v>
      </c>
      <c r="B621" t="s">
        <v>1250</v>
      </c>
      <c r="C621" t="s">
        <v>53</v>
      </c>
      <c r="D621" t="s">
        <v>269</v>
      </c>
      <c r="E621" t="s">
        <v>32</v>
      </c>
      <c r="F621" t="s">
        <v>18</v>
      </c>
      <c r="G621">
        <v>105</v>
      </c>
      <c r="H621">
        <v>65000</v>
      </c>
      <c r="I621">
        <v>6825000</v>
      </c>
    </row>
    <row r="622" spans="1:9" x14ac:dyDescent="0.3">
      <c r="A622" s="1">
        <v>45845</v>
      </c>
      <c r="B622" t="s">
        <v>164</v>
      </c>
      <c r="C622" t="s">
        <v>15</v>
      </c>
      <c r="D622" t="s">
        <v>40</v>
      </c>
      <c r="E622" t="s">
        <v>41</v>
      </c>
      <c r="F622" t="s">
        <v>29</v>
      </c>
      <c r="G622">
        <v>106</v>
      </c>
      <c r="H622">
        <v>120000</v>
      </c>
      <c r="I622">
        <v>12720000</v>
      </c>
    </row>
    <row r="623" spans="1:9" x14ac:dyDescent="0.3">
      <c r="A623" s="1">
        <v>45763</v>
      </c>
      <c r="B623" t="s">
        <v>275</v>
      </c>
      <c r="C623" t="s">
        <v>53</v>
      </c>
      <c r="D623" t="s">
        <v>45</v>
      </c>
      <c r="E623" t="s">
        <v>12</v>
      </c>
      <c r="F623" t="s">
        <v>22</v>
      </c>
      <c r="G623">
        <v>106</v>
      </c>
      <c r="H623">
        <v>65000</v>
      </c>
      <c r="I623">
        <v>6890000</v>
      </c>
    </row>
    <row r="624" spans="1:9" x14ac:dyDescent="0.3">
      <c r="A624" s="1">
        <v>45689</v>
      </c>
      <c r="B624" t="s">
        <v>276</v>
      </c>
      <c r="C624" t="s">
        <v>10</v>
      </c>
      <c r="D624" t="s">
        <v>73</v>
      </c>
      <c r="E624" t="s">
        <v>36</v>
      </c>
      <c r="F624" t="s">
        <v>22</v>
      </c>
      <c r="G624">
        <v>106</v>
      </c>
      <c r="H624">
        <v>75000</v>
      </c>
      <c r="I624">
        <v>7950000</v>
      </c>
    </row>
    <row r="625" spans="1:9" x14ac:dyDescent="0.3">
      <c r="A625" s="1">
        <v>45896</v>
      </c>
      <c r="B625" t="s">
        <v>409</v>
      </c>
      <c r="C625" t="s">
        <v>53</v>
      </c>
      <c r="D625" t="s">
        <v>104</v>
      </c>
      <c r="E625" t="s">
        <v>26</v>
      </c>
      <c r="F625" t="s">
        <v>33</v>
      </c>
      <c r="G625">
        <v>106</v>
      </c>
      <c r="H625">
        <v>65000</v>
      </c>
      <c r="I625">
        <v>6890000</v>
      </c>
    </row>
    <row r="626" spans="1:9" x14ac:dyDescent="0.3">
      <c r="A626" s="1">
        <v>45928</v>
      </c>
      <c r="B626" t="s">
        <v>489</v>
      </c>
      <c r="C626" t="s">
        <v>15</v>
      </c>
      <c r="D626" t="s">
        <v>11</v>
      </c>
      <c r="E626" t="s">
        <v>12</v>
      </c>
      <c r="F626" t="s">
        <v>18</v>
      </c>
      <c r="G626">
        <v>106</v>
      </c>
      <c r="H626">
        <v>120000</v>
      </c>
      <c r="I626">
        <v>12720000</v>
      </c>
    </row>
    <row r="627" spans="1:9" x14ac:dyDescent="0.3">
      <c r="A627" s="1">
        <v>45674</v>
      </c>
      <c r="B627" t="s">
        <v>733</v>
      </c>
      <c r="C627" t="s">
        <v>15</v>
      </c>
      <c r="D627" t="s">
        <v>81</v>
      </c>
      <c r="E627" t="s">
        <v>32</v>
      </c>
      <c r="F627" t="s">
        <v>22</v>
      </c>
      <c r="G627">
        <v>106</v>
      </c>
      <c r="H627">
        <v>120000</v>
      </c>
      <c r="I627">
        <v>12720000</v>
      </c>
    </row>
    <row r="628" spans="1:9" x14ac:dyDescent="0.3">
      <c r="A628" s="1">
        <v>46016</v>
      </c>
      <c r="B628" t="s">
        <v>954</v>
      </c>
      <c r="C628" t="s">
        <v>24</v>
      </c>
      <c r="D628" t="s">
        <v>45</v>
      </c>
      <c r="E628" t="s">
        <v>12</v>
      </c>
      <c r="F628" t="s">
        <v>13</v>
      </c>
      <c r="G628">
        <v>106</v>
      </c>
      <c r="H628">
        <v>55000</v>
      </c>
      <c r="I628">
        <v>5830000</v>
      </c>
    </row>
    <row r="629" spans="1:9" x14ac:dyDescent="0.3">
      <c r="A629" s="1">
        <v>45852</v>
      </c>
      <c r="B629" t="s">
        <v>1027</v>
      </c>
      <c r="C629" t="s">
        <v>10</v>
      </c>
      <c r="D629" t="s">
        <v>65</v>
      </c>
      <c r="E629" t="s">
        <v>21</v>
      </c>
      <c r="F629" t="s">
        <v>33</v>
      </c>
      <c r="G629">
        <v>106</v>
      </c>
      <c r="H629">
        <v>75000</v>
      </c>
      <c r="I629">
        <v>7950000</v>
      </c>
    </row>
    <row r="630" spans="1:9" x14ac:dyDescent="0.3">
      <c r="A630" s="1">
        <v>45996</v>
      </c>
      <c r="B630" t="s">
        <v>231</v>
      </c>
      <c r="C630" t="s">
        <v>24</v>
      </c>
      <c r="D630" t="s">
        <v>28</v>
      </c>
      <c r="E630" t="s">
        <v>17</v>
      </c>
      <c r="F630" t="s">
        <v>13</v>
      </c>
      <c r="G630">
        <v>107</v>
      </c>
      <c r="H630">
        <v>55000</v>
      </c>
      <c r="I630">
        <v>5885000</v>
      </c>
    </row>
    <row r="631" spans="1:9" x14ac:dyDescent="0.3">
      <c r="A631" s="1">
        <v>45964</v>
      </c>
      <c r="B631" t="s">
        <v>547</v>
      </c>
      <c r="C631" t="s">
        <v>24</v>
      </c>
      <c r="D631" t="s">
        <v>129</v>
      </c>
      <c r="E631" t="s">
        <v>57</v>
      </c>
      <c r="F631" t="s">
        <v>18</v>
      </c>
      <c r="G631">
        <v>107</v>
      </c>
      <c r="H631">
        <v>55000</v>
      </c>
      <c r="I631">
        <v>5885000</v>
      </c>
    </row>
    <row r="632" spans="1:9" x14ac:dyDescent="0.3">
      <c r="A632" s="1">
        <v>45936</v>
      </c>
      <c r="B632" t="s">
        <v>798</v>
      </c>
      <c r="C632" t="s">
        <v>24</v>
      </c>
      <c r="D632" t="s">
        <v>201</v>
      </c>
      <c r="E632" t="s">
        <v>21</v>
      </c>
      <c r="F632" t="s">
        <v>18</v>
      </c>
      <c r="G632">
        <v>107</v>
      </c>
      <c r="H632">
        <v>55000</v>
      </c>
      <c r="I632">
        <v>5885000</v>
      </c>
    </row>
    <row r="633" spans="1:9" x14ac:dyDescent="0.3">
      <c r="A633" s="1">
        <v>45738</v>
      </c>
      <c r="B633" t="s">
        <v>924</v>
      </c>
      <c r="C633" t="s">
        <v>24</v>
      </c>
      <c r="D633" t="s">
        <v>51</v>
      </c>
      <c r="E633" t="s">
        <v>36</v>
      </c>
      <c r="F633" t="s">
        <v>29</v>
      </c>
      <c r="G633">
        <v>107</v>
      </c>
      <c r="H633">
        <v>55000</v>
      </c>
      <c r="I633">
        <v>5885000</v>
      </c>
    </row>
    <row r="634" spans="1:9" x14ac:dyDescent="0.3">
      <c r="A634" s="1">
        <v>45847</v>
      </c>
      <c r="B634" t="s">
        <v>375</v>
      </c>
      <c r="C634" t="s">
        <v>24</v>
      </c>
      <c r="D634" t="s">
        <v>152</v>
      </c>
      <c r="E634" t="s">
        <v>36</v>
      </c>
      <c r="F634" t="s">
        <v>29</v>
      </c>
      <c r="G634">
        <v>108</v>
      </c>
      <c r="H634">
        <v>55000</v>
      </c>
      <c r="I634">
        <v>5940000</v>
      </c>
    </row>
    <row r="635" spans="1:9" x14ac:dyDescent="0.3">
      <c r="A635" s="1">
        <v>45773</v>
      </c>
      <c r="B635" t="s">
        <v>411</v>
      </c>
      <c r="C635" t="s">
        <v>15</v>
      </c>
      <c r="D635" t="s">
        <v>110</v>
      </c>
      <c r="E635" t="s">
        <v>32</v>
      </c>
      <c r="F635" t="s">
        <v>29</v>
      </c>
      <c r="G635">
        <v>108</v>
      </c>
      <c r="H635">
        <v>120000</v>
      </c>
      <c r="I635">
        <v>12960000</v>
      </c>
    </row>
    <row r="636" spans="1:9" x14ac:dyDescent="0.3">
      <c r="A636" s="1">
        <v>45828</v>
      </c>
      <c r="B636" t="s">
        <v>1116</v>
      </c>
      <c r="C636" t="s">
        <v>53</v>
      </c>
      <c r="D636" t="s">
        <v>269</v>
      </c>
      <c r="E636" t="s">
        <v>32</v>
      </c>
      <c r="F636" t="s">
        <v>22</v>
      </c>
      <c r="G636">
        <v>108</v>
      </c>
      <c r="H636">
        <v>65000</v>
      </c>
      <c r="I636">
        <v>7020000</v>
      </c>
    </row>
    <row r="637" spans="1:9" x14ac:dyDescent="0.3">
      <c r="A637" s="1">
        <v>45776</v>
      </c>
      <c r="B637" t="s">
        <v>55</v>
      </c>
      <c r="C637" t="s">
        <v>15</v>
      </c>
      <c r="D637" t="s">
        <v>56</v>
      </c>
      <c r="E637" t="s">
        <v>57</v>
      </c>
      <c r="F637" t="s">
        <v>33</v>
      </c>
      <c r="G637">
        <v>109</v>
      </c>
      <c r="H637">
        <v>120000</v>
      </c>
      <c r="I637">
        <v>13080000</v>
      </c>
    </row>
    <row r="638" spans="1:9" x14ac:dyDescent="0.3">
      <c r="A638" s="1">
        <v>45929</v>
      </c>
      <c r="B638" t="s">
        <v>203</v>
      </c>
      <c r="C638" t="s">
        <v>15</v>
      </c>
      <c r="D638" t="s">
        <v>61</v>
      </c>
      <c r="E638" t="s">
        <v>17</v>
      </c>
      <c r="F638" t="s">
        <v>29</v>
      </c>
      <c r="G638">
        <v>109</v>
      </c>
      <c r="H638">
        <v>120000</v>
      </c>
      <c r="I638">
        <v>13080000</v>
      </c>
    </row>
    <row r="639" spans="1:9" x14ac:dyDescent="0.3">
      <c r="A639" s="1">
        <v>45849</v>
      </c>
      <c r="B639" t="s">
        <v>298</v>
      </c>
      <c r="C639" t="s">
        <v>15</v>
      </c>
      <c r="D639" t="s">
        <v>133</v>
      </c>
      <c r="E639" t="s">
        <v>17</v>
      </c>
      <c r="F639" t="s">
        <v>22</v>
      </c>
      <c r="G639">
        <v>109</v>
      </c>
      <c r="H639">
        <v>120000</v>
      </c>
      <c r="I639">
        <v>13080000</v>
      </c>
    </row>
    <row r="640" spans="1:9" x14ac:dyDescent="0.3">
      <c r="A640" s="1">
        <v>45910</v>
      </c>
      <c r="B640" t="s">
        <v>562</v>
      </c>
      <c r="C640" t="s">
        <v>24</v>
      </c>
      <c r="D640" t="s">
        <v>119</v>
      </c>
      <c r="E640" t="s">
        <v>36</v>
      </c>
      <c r="F640" t="s">
        <v>33</v>
      </c>
      <c r="G640">
        <v>109</v>
      </c>
      <c r="H640">
        <v>55000</v>
      </c>
      <c r="I640">
        <v>5995000</v>
      </c>
    </row>
    <row r="641" spans="1:9" x14ac:dyDescent="0.3">
      <c r="A641" s="1">
        <v>45970</v>
      </c>
      <c r="B641" t="s">
        <v>857</v>
      </c>
      <c r="C641" t="s">
        <v>10</v>
      </c>
      <c r="D641" t="s">
        <v>152</v>
      </c>
      <c r="E641" t="s">
        <v>36</v>
      </c>
      <c r="F641" t="s">
        <v>18</v>
      </c>
      <c r="G641">
        <v>109</v>
      </c>
      <c r="H641">
        <v>75000</v>
      </c>
      <c r="I641">
        <v>8175000</v>
      </c>
    </row>
    <row r="642" spans="1:9" x14ac:dyDescent="0.3">
      <c r="A642" s="1">
        <v>45811</v>
      </c>
      <c r="B642" t="s">
        <v>1180</v>
      </c>
      <c r="C642" t="s">
        <v>24</v>
      </c>
      <c r="D642" t="s">
        <v>73</v>
      </c>
      <c r="E642" t="s">
        <v>36</v>
      </c>
      <c r="F642" t="s">
        <v>33</v>
      </c>
      <c r="G642">
        <v>109</v>
      </c>
      <c r="H642">
        <v>55000</v>
      </c>
      <c r="I642">
        <v>5995000</v>
      </c>
    </row>
    <row r="643" spans="1:9" x14ac:dyDescent="0.3">
      <c r="A643" s="1">
        <v>45932</v>
      </c>
      <c r="B643" t="s">
        <v>34</v>
      </c>
      <c r="C643" t="s">
        <v>24</v>
      </c>
      <c r="D643" t="s">
        <v>35</v>
      </c>
      <c r="E643" t="s">
        <v>36</v>
      </c>
      <c r="F643" t="s">
        <v>29</v>
      </c>
      <c r="G643">
        <v>110</v>
      </c>
      <c r="H643">
        <v>55000</v>
      </c>
      <c r="I643">
        <v>6050000</v>
      </c>
    </row>
    <row r="644" spans="1:9" x14ac:dyDescent="0.3">
      <c r="A644" s="1">
        <v>45791</v>
      </c>
      <c r="B644" t="s">
        <v>666</v>
      </c>
      <c r="C644" t="s">
        <v>15</v>
      </c>
      <c r="D644" t="s">
        <v>93</v>
      </c>
      <c r="E644" t="s">
        <v>41</v>
      </c>
      <c r="F644" t="s">
        <v>33</v>
      </c>
      <c r="G644">
        <v>110</v>
      </c>
      <c r="H644">
        <v>120000</v>
      </c>
      <c r="I644">
        <v>13200000</v>
      </c>
    </row>
    <row r="645" spans="1:9" x14ac:dyDescent="0.3">
      <c r="A645" s="1">
        <v>45980</v>
      </c>
      <c r="B645" t="s">
        <v>1174</v>
      </c>
      <c r="C645" t="s">
        <v>53</v>
      </c>
      <c r="D645" t="s">
        <v>201</v>
      </c>
      <c r="E645" t="s">
        <v>21</v>
      </c>
      <c r="F645" t="s">
        <v>13</v>
      </c>
      <c r="G645">
        <v>110</v>
      </c>
      <c r="H645">
        <v>65000</v>
      </c>
      <c r="I645">
        <v>7150000</v>
      </c>
    </row>
    <row r="646" spans="1:9" x14ac:dyDescent="0.3">
      <c r="A646" s="1">
        <v>45819</v>
      </c>
      <c r="B646" t="s">
        <v>374</v>
      </c>
      <c r="C646" t="s">
        <v>15</v>
      </c>
      <c r="D646" t="s">
        <v>20</v>
      </c>
      <c r="E646" t="s">
        <v>21</v>
      </c>
      <c r="F646" t="s">
        <v>29</v>
      </c>
      <c r="G646">
        <v>111</v>
      </c>
      <c r="H646">
        <v>120000</v>
      </c>
      <c r="I646">
        <v>13320000</v>
      </c>
    </row>
    <row r="647" spans="1:9" x14ac:dyDescent="0.3">
      <c r="A647" s="1">
        <v>45731</v>
      </c>
      <c r="B647" t="s">
        <v>428</v>
      </c>
      <c r="C647" t="s">
        <v>24</v>
      </c>
      <c r="D647" t="s">
        <v>129</v>
      </c>
      <c r="E647" t="s">
        <v>57</v>
      </c>
      <c r="F647" t="s">
        <v>13</v>
      </c>
      <c r="G647">
        <v>111</v>
      </c>
      <c r="H647">
        <v>55000</v>
      </c>
      <c r="I647">
        <v>6105000</v>
      </c>
    </row>
    <row r="648" spans="1:9" x14ac:dyDescent="0.3">
      <c r="A648" s="1">
        <v>45916</v>
      </c>
      <c r="B648" t="s">
        <v>654</v>
      </c>
      <c r="C648" t="s">
        <v>10</v>
      </c>
      <c r="D648" t="s">
        <v>124</v>
      </c>
      <c r="E648" t="s">
        <v>26</v>
      </c>
      <c r="F648" t="s">
        <v>22</v>
      </c>
      <c r="G648">
        <v>111</v>
      </c>
      <c r="H648">
        <v>75000</v>
      </c>
      <c r="I648">
        <v>8325000</v>
      </c>
    </row>
    <row r="649" spans="1:9" x14ac:dyDescent="0.3">
      <c r="A649" s="1">
        <v>45954</v>
      </c>
      <c r="B649" t="s">
        <v>853</v>
      </c>
      <c r="C649" t="s">
        <v>53</v>
      </c>
      <c r="D649" t="s">
        <v>86</v>
      </c>
      <c r="E649" t="s">
        <v>12</v>
      </c>
      <c r="F649" t="s">
        <v>13</v>
      </c>
      <c r="G649">
        <v>111</v>
      </c>
      <c r="H649">
        <v>65000</v>
      </c>
      <c r="I649">
        <v>7215000</v>
      </c>
    </row>
    <row r="650" spans="1:9" x14ac:dyDescent="0.3">
      <c r="A650" s="1">
        <v>45968</v>
      </c>
      <c r="B650" t="s">
        <v>1169</v>
      </c>
      <c r="C650" t="s">
        <v>10</v>
      </c>
      <c r="D650" t="s">
        <v>95</v>
      </c>
      <c r="E650" t="s">
        <v>26</v>
      </c>
      <c r="F650" t="s">
        <v>22</v>
      </c>
      <c r="G650">
        <v>111</v>
      </c>
      <c r="H650">
        <v>75000</v>
      </c>
      <c r="I650">
        <v>8325000</v>
      </c>
    </row>
    <row r="651" spans="1:9" x14ac:dyDescent="0.3">
      <c r="A651" s="1">
        <v>45885</v>
      </c>
      <c r="B651" t="s">
        <v>257</v>
      </c>
      <c r="C651" t="s">
        <v>24</v>
      </c>
      <c r="D651" t="s">
        <v>25</v>
      </c>
      <c r="E651" t="s">
        <v>26</v>
      </c>
      <c r="F651" t="s">
        <v>29</v>
      </c>
      <c r="G651">
        <v>112</v>
      </c>
      <c r="H651">
        <v>55000</v>
      </c>
      <c r="I651">
        <v>6160000</v>
      </c>
    </row>
    <row r="652" spans="1:9" x14ac:dyDescent="0.3">
      <c r="A652" s="1">
        <v>45675</v>
      </c>
      <c r="B652" t="s">
        <v>343</v>
      </c>
      <c r="C652" t="s">
        <v>24</v>
      </c>
      <c r="D652" t="s">
        <v>38</v>
      </c>
      <c r="E652" t="s">
        <v>17</v>
      </c>
      <c r="F652" t="s">
        <v>33</v>
      </c>
      <c r="G652">
        <v>112</v>
      </c>
      <c r="H652">
        <v>55000</v>
      </c>
      <c r="I652">
        <v>6160000</v>
      </c>
    </row>
    <row r="653" spans="1:9" x14ac:dyDescent="0.3">
      <c r="A653" s="1">
        <v>45821</v>
      </c>
      <c r="B653" t="s">
        <v>720</v>
      </c>
      <c r="C653" t="s">
        <v>15</v>
      </c>
      <c r="D653" t="s">
        <v>25</v>
      </c>
      <c r="E653" t="s">
        <v>26</v>
      </c>
      <c r="F653" t="s">
        <v>22</v>
      </c>
      <c r="G653">
        <v>112</v>
      </c>
      <c r="H653">
        <v>120000</v>
      </c>
      <c r="I653">
        <v>13440000</v>
      </c>
    </row>
    <row r="654" spans="1:9" x14ac:dyDescent="0.3">
      <c r="A654" s="1">
        <v>45675</v>
      </c>
      <c r="B654" t="s">
        <v>871</v>
      </c>
      <c r="C654" t="s">
        <v>15</v>
      </c>
      <c r="D654" t="s">
        <v>83</v>
      </c>
      <c r="E654" t="s">
        <v>21</v>
      </c>
      <c r="F654" t="s">
        <v>18</v>
      </c>
      <c r="G654">
        <v>112</v>
      </c>
      <c r="H654">
        <v>120000</v>
      </c>
      <c r="I654">
        <v>13440000</v>
      </c>
    </row>
    <row r="655" spans="1:9" x14ac:dyDescent="0.3">
      <c r="A655" s="1">
        <v>45864</v>
      </c>
      <c r="B655" t="s">
        <v>1132</v>
      </c>
      <c r="C655" t="s">
        <v>15</v>
      </c>
      <c r="D655" t="s">
        <v>31</v>
      </c>
      <c r="E655" t="s">
        <v>32</v>
      </c>
      <c r="F655" t="s">
        <v>33</v>
      </c>
      <c r="G655">
        <v>112</v>
      </c>
      <c r="H655">
        <v>120000</v>
      </c>
      <c r="I655">
        <v>13440000</v>
      </c>
    </row>
    <row r="656" spans="1:9" x14ac:dyDescent="0.3">
      <c r="A656" s="1">
        <v>45666</v>
      </c>
      <c r="B656" t="s">
        <v>1141</v>
      </c>
      <c r="C656" t="s">
        <v>15</v>
      </c>
      <c r="D656" t="s">
        <v>251</v>
      </c>
      <c r="E656" t="s">
        <v>12</v>
      </c>
      <c r="F656" t="s">
        <v>29</v>
      </c>
      <c r="G656">
        <v>112</v>
      </c>
      <c r="H656">
        <v>120000</v>
      </c>
      <c r="I656">
        <v>13440000</v>
      </c>
    </row>
    <row r="657" spans="1:9" x14ac:dyDescent="0.3">
      <c r="A657" s="1">
        <v>45876</v>
      </c>
      <c r="B657" t="s">
        <v>450</v>
      </c>
      <c r="C657" t="s">
        <v>53</v>
      </c>
      <c r="D657" t="s">
        <v>38</v>
      </c>
      <c r="E657" t="s">
        <v>17</v>
      </c>
      <c r="F657" t="s">
        <v>33</v>
      </c>
      <c r="G657">
        <v>113</v>
      </c>
      <c r="H657">
        <v>65000</v>
      </c>
      <c r="I657">
        <v>7345000</v>
      </c>
    </row>
    <row r="658" spans="1:9" x14ac:dyDescent="0.3">
      <c r="A658" s="1">
        <v>45764</v>
      </c>
      <c r="B658" t="s">
        <v>545</v>
      </c>
      <c r="C658" t="s">
        <v>24</v>
      </c>
      <c r="D658" t="s">
        <v>65</v>
      </c>
      <c r="E658" t="s">
        <v>21</v>
      </c>
      <c r="F658" t="s">
        <v>33</v>
      </c>
      <c r="G658">
        <v>113</v>
      </c>
      <c r="H658">
        <v>55000</v>
      </c>
      <c r="I658">
        <v>6215000</v>
      </c>
    </row>
    <row r="659" spans="1:9" x14ac:dyDescent="0.3">
      <c r="A659" s="1">
        <v>45979</v>
      </c>
      <c r="B659" t="s">
        <v>764</v>
      </c>
      <c r="C659" t="s">
        <v>53</v>
      </c>
      <c r="D659" t="s">
        <v>73</v>
      </c>
      <c r="E659" t="s">
        <v>36</v>
      </c>
      <c r="F659" t="s">
        <v>29</v>
      </c>
      <c r="G659">
        <v>113</v>
      </c>
      <c r="H659">
        <v>65000</v>
      </c>
      <c r="I659">
        <v>7345000</v>
      </c>
    </row>
    <row r="660" spans="1:9" x14ac:dyDescent="0.3">
      <c r="A660" s="1">
        <v>45699</v>
      </c>
      <c r="B660" t="s">
        <v>767</v>
      </c>
      <c r="C660" t="s">
        <v>53</v>
      </c>
      <c r="D660" t="s">
        <v>119</v>
      </c>
      <c r="E660" t="s">
        <v>36</v>
      </c>
      <c r="F660" t="s">
        <v>13</v>
      </c>
      <c r="G660">
        <v>113</v>
      </c>
      <c r="H660">
        <v>65000</v>
      </c>
      <c r="I660">
        <v>7345000</v>
      </c>
    </row>
    <row r="661" spans="1:9" x14ac:dyDescent="0.3">
      <c r="A661" s="1">
        <v>45928</v>
      </c>
      <c r="B661" t="s">
        <v>1037</v>
      </c>
      <c r="C661" t="s">
        <v>10</v>
      </c>
      <c r="D661" t="s">
        <v>68</v>
      </c>
      <c r="E661" t="s">
        <v>21</v>
      </c>
      <c r="F661" t="s">
        <v>13</v>
      </c>
      <c r="G661">
        <v>113</v>
      </c>
      <c r="H661">
        <v>75000</v>
      </c>
      <c r="I661">
        <v>8475000</v>
      </c>
    </row>
    <row r="662" spans="1:9" x14ac:dyDescent="0.3">
      <c r="A662" s="1">
        <v>45980</v>
      </c>
      <c r="B662" t="s">
        <v>1265</v>
      </c>
      <c r="C662" t="s">
        <v>53</v>
      </c>
      <c r="D662" t="s">
        <v>91</v>
      </c>
      <c r="E662" t="s">
        <v>17</v>
      </c>
      <c r="F662" t="s">
        <v>22</v>
      </c>
      <c r="G662">
        <v>113</v>
      </c>
      <c r="H662">
        <v>65000</v>
      </c>
      <c r="I662">
        <v>7345000</v>
      </c>
    </row>
    <row r="663" spans="1:9" x14ac:dyDescent="0.3">
      <c r="A663" s="1">
        <v>45946</v>
      </c>
      <c r="B663" t="s">
        <v>155</v>
      </c>
      <c r="C663" t="s">
        <v>53</v>
      </c>
      <c r="D663" t="s">
        <v>49</v>
      </c>
      <c r="E663" t="s">
        <v>26</v>
      </c>
      <c r="F663" t="s">
        <v>18</v>
      </c>
      <c r="G663">
        <v>114</v>
      </c>
      <c r="H663">
        <v>65000</v>
      </c>
      <c r="I663">
        <v>7410000</v>
      </c>
    </row>
    <row r="664" spans="1:9" x14ac:dyDescent="0.3">
      <c r="A664" s="1">
        <v>45835</v>
      </c>
      <c r="B664" t="s">
        <v>330</v>
      </c>
      <c r="C664" t="s">
        <v>24</v>
      </c>
      <c r="D664" t="s">
        <v>45</v>
      </c>
      <c r="E664" t="s">
        <v>12</v>
      </c>
      <c r="F664" t="s">
        <v>33</v>
      </c>
      <c r="G664">
        <v>114</v>
      </c>
      <c r="H664">
        <v>55000</v>
      </c>
      <c r="I664">
        <v>6270000</v>
      </c>
    </row>
    <row r="665" spans="1:9" x14ac:dyDescent="0.3">
      <c r="A665" s="1">
        <v>45965</v>
      </c>
      <c r="B665" t="s">
        <v>612</v>
      </c>
      <c r="C665" t="s">
        <v>53</v>
      </c>
      <c r="D665" t="s">
        <v>104</v>
      </c>
      <c r="E665" t="s">
        <v>26</v>
      </c>
      <c r="F665" t="s">
        <v>18</v>
      </c>
      <c r="G665">
        <v>114</v>
      </c>
      <c r="H665">
        <v>65000</v>
      </c>
      <c r="I665">
        <v>7410000</v>
      </c>
    </row>
    <row r="666" spans="1:9" x14ac:dyDescent="0.3">
      <c r="A666" s="1">
        <v>45957</v>
      </c>
      <c r="B666" t="s">
        <v>809</v>
      </c>
      <c r="C666" t="s">
        <v>24</v>
      </c>
      <c r="D666" t="s">
        <v>28</v>
      </c>
      <c r="E666" t="s">
        <v>17</v>
      </c>
      <c r="F666" t="s">
        <v>33</v>
      </c>
      <c r="G666">
        <v>114</v>
      </c>
      <c r="H666">
        <v>55000</v>
      </c>
      <c r="I666">
        <v>6270000</v>
      </c>
    </row>
    <row r="667" spans="1:9" x14ac:dyDescent="0.3">
      <c r="A667" s="1">
        <v>45822</v>
      </c>
      <c r="B667" t="s">
        <v>831</v>
      </c>
      <c r="C667" t="s">
        <v>53</v>
      </c>
      <c r="D667" t="s">
        <v>119</v>
      </c>
      <c r="E667" t="s">
        <v>36</v>
      </c>
      <c r="F667" t="s">
        <v>33</v>
      </c>
      <c r="G667">
        <v>114</v>
      </c>
      <c r="H667">
        <v>65000</v>
      </c>
      <c r="I667">
        <v>7410000</v>
      </c>
    </row>
    <row r="668" spans="1:9" x14ac:dyDescent="0.3">
      <c r="A668" s="1">
        <v>45752</v>
      </c>
      <c r="B668" t="s">
        <v>896</v>
      </c>
      <c r="C668" t="s">
        <v>10</v>
      </c>
      <c r="D668" t="s">
        <v>25</v>
      </c>
      <c r="E668" t="s">
        <v>26</v>
      </c>
      <c r="F668" t="s">
        <v>29</v>
      </c>
      <c r="G668">
        <v>114</v>
      </c>
      <c r="H668">
        <v>75000</v>
      </c>
      <c r="I668">
        <v>8550000</v>
      </c>
    </row>
    <row r="669" spans="1:9" x14ac:dyDescent="0.3">
      <c r="A669" s="1">
        <v>45889</v>
      </c>
      <c r="B669" t="s">
        <v>926</v>
      </c>
      <c r="C669" t="s">
        <v>53</v>
      </c>
      <c r="D669" t="s">
        <v>11</v>
      </c>
      <c r="E669" t="s">
        <v>12</v>
      </c>
      <c r="F669" t="s">
        <v>33</v>
      </c>
      <c r="G669">
        <v>114</v>
      </c>
      <c r="H669">
        <v>65000</v>
      </c>
      <c r="I669">
        <v>7410000</v>
      </c>
    </row>
    <row r="670" spans="1:9" x14ac:dyDescent="0.3">
      <c r="A670" s="1">
        <v>45755</v>
      </c>
      <c r="B670" t="s">
        <v>952</v>
      </c>
      <c r="C670" t="s">
        <v>10</v>
      </c>
      <c r="D670" t="s">
        <v>86</v>
      </c>
      <c r="E670" t="s">
        <v>12</v>
      </c>
      <c r="F670" t="s">
        <v>29</v>
      </c>
      <c r="G670">
        <v>114</v>
      </c>
      <c r="H670">
        <v>75000</v>
      </c>
      <c r="I670">
        <v>8550000</v>
      </c>
    </row>
    <row r="671" spans="1:9" x14ac:dyDescent="0.3">
      <c r="A671" s="1">
        <v>45916</v>
      </c>
      <c r="B671" t="s">
        <v>1203</v>
      </c>
      <c r="C671" t="s">
        <v>53</v>
      </c>
      <c r="D671" t="s">
        <v>79</v>
      </c>
      <c r="E671" t="s">
        <v>36</v>
      </c>
      <c r="F671" t="s">
        <v>29</v>
      </c>
      <c r="G671">
        <v>114</v>
      </c>
      <c r="H671">
        <v>65000</v>
      </c>
      <c r="I671">
        <v>7410000</v>
      </c>
    </row>
    <row r="672" spans="1:9" x14ac:dyDescent="0.3">
      <c r="A672" s="1">
        <v>45940</v>
      </c>
      <c r="B672" t="s">
        <v>221</v>
      </c>
      <c r="C672" t="s">
        <v>10</v>
      </c>
      <c r="D672" t="s">
        <v>201</v>
      </c>
      <c r="E672" t="s">
        <v>21</v>
      </c>
      <c r="F672" t="s">
        <v>13</v>
      </c>
      <c r="G672">
        <v>115</v>
      </c>
      <c r="H672">
        <v>75000</v>
      </c>
      <c r="I672">
        <v>8625000</v>
      </c>
    </row>
    <row r="673" spans="1:9" x14ac:dyDescent="0.3">
      <c r="A673" s="1">
        <v>45787</v>
      </c>
      <c r="B673" t="s">
        <v>250</v>
      </c>
      <c r="C673" t="s">
        <v>53</v>
      </c>
      <c r="D673" t="s">
        <v>251</v>
      </c>
      <c r="E673" t="s">
        <v>12</v>
      </c>
      <c r="F673" t="s">
        <v>22</v>
      </c>
      <c r="G673">
        <v>115</v>
      </c>
      <c r="H673">
        <v>65000</v>
      </c>
      <c r="I673">
        <v>7475000</v>
      </c>
    </row>
    <row r="674" spans="1:9" x14ac:dyDescent="0.3">
      <c r="A674" s="1">
        <v>46015</v>
      </c>
      <c r="B674" t="s">
        <v>466</v>
      </c>
      <c r="C674" t="s">
        <v>15</v>
      </c>
      <c r="D674" t="s">
        <v>129</v>
      </c>
      <c r="E674" t="s">
        <v>57</v>
      </c>
      <c r="F674" t="s">
        <v>22</v>
      </c>
      <c r="G674">
        <v>115</v>
      </c>
      <c r="H674">
        <v>120000</v>
      </c>
      <c r="I674">
        <v>13800000</v>
      </c>
    </row>
    <row r="675" spans="1:9" x14ac:dyDescent="0.3">
      <c r="A675" s="1">
        <v>45734</v>
      </c>
      <c r="B675" t="s">
        <v>801</v>
      </c>
      <c r="C675" t="s">
        <v>53</v>
      </c>
      <c r="D675" t="s">
        <v>269</v>
      </c>
      <c r="E675" t="s">
        <v>32</v>
      </c>
      <c r="F675" t="s">
        <v>13</v>
      </c>
      <c r="G675">
        <v>115</v>
      </c>
      <c r="H675">
        <v>65000</v>
      </c>
      <c r="I675">
        <v>7475000</v>
      </c>
    </row>
    <row r="676" spans="1:9" x14ac:dyDescent="0.3">
      <c r="A676" s="1">
        <v>45715</v>
      </c>
      <c r="B676" t="s">
        <v>1135</v>
      </c>
      <c r="C676" t="s">
        <v>10</v>
      </c>
      <c r="D676" t="s">
        <v>152</v>
      </c>
      <c r="E676" t="s">
        <v>36</v>
      </c>
      <c r="F676" t="s">
        <v>18</v>
      </c>
      <c r="G676">
        <v>115</v>
      </c>
      <c r="H676">
        <v>75000</v>
      </c>
      <c r="I676">
        <v>8625000</v>
      </c>
    </row>
    <row r="677" spans="1:9" x14ac:dyDescent="0.3">
      <c r="A677" s="1">
        <v>45861</v>
      </c>
      <c r="B677" t="s">
        <v>312</v>
      </c>
      <c r="C677" t="s">
        <v>53</v>
      </c>
      <c r="D677" t="s">
        <v>56</v>
      </c>
      <c r="E677" t="s">
        <v>57</v>
      </c>
      <c r="F677" t="s">
        <v>33</v>
      </c>
      <c r="G677">
        <v>116</v>
      </c>
      <c r="H677">
        <v>65000</v>
      </c>
      <c r="I677">
        <v>7540000</v>
      </c>
    </row>
    <row r="678" spans="1:9" x14ac:dyDescent="0.3">
      <c r="A678" s="1">
        <v>45821</v>
      </c>
      <c r="B678" t="s">
        <v>937</v>
      </c>
      <c r="C678" t="s">
        <v>24</v>
      </c>
      <c r="D678" t="s">
        <v>133</v>
      </c>
      <c r="E678" t="s">
        <v>17</v>
      </c>
      <c r="F678" t="s">
        <v>13</v>
      </c>
      <c r="G678">
        <v>116</v>
      </c>
      <c r="H678">
        <v>55000</v>
      </c>
      <c r="I678">
        <v>6380000</v>
      </c>
    </row>
    <row r="679" spans="1:9" x14ac:dyDescent="0.3">
      <c r="A679" s="1">
        <v>46019</v>
      </c>
      <c r="B679" t="s">
        <v>1070</v>
      </c>
      <c r="C679" t="s">
        <v>10</v>
      </c>
      <c r="D679" t="s">
        <v>59</v>
      </c>
      <c r="E679" t="s">
        <v>41</v>
      </c>
      <c r="F679" t="s">
        <v>33</v>
      </c>
      <c r="G679">
        <v>116</v>
      </c>
      <c r="H679">
        <v>75000</v>
      </c>
      <c r="I679">
        <v>8700000</v>
      </c>
    </row>
    <row r="680" spans="1:9" x14ac:dyDescent="0.3">
      <c r="A680" s="1">
        <v>45780</v>
      </c>
      <c r="B680" t="s">
        <v>1247</v>
      </c>
      <c r="C680" t="s">
        <v>15</v>
      </c>
      <c r="D680" t="s">
        <v>16</v>
      </c>
      <c r="E680" t="s">
        <v>17</v>
      </c>
      <c r="F680" t="s">
        <v>22</v>
      </c>
      <c r="G680">
        <v>116</v>
      </c>
      <c r="H680">
        <v>120000</v>
      </c>
      <c r="I680">
        <v>13920000</v>
      </c>
    </row>
    <row r="681" spans="1:9" x14ac:dyDescent="0.3">
      <c r="A681" s="1">
        <v>45734</v>
      </c>
      <c r="B681" t="s">
        <v>335</v>
      </c>
      <c r="C681" t="s">
        <v>53</v>
      </c>
      <c r="D681" t="s">
        <v>83</v>
      </c>
      <c r="E681" t="s">
        <v>21</v>
      </c>
      <c r="F681" t="s">
        <v>22</v>
      </c>
      <c r="G681">
        <v>117</v>
      </c>
      <c r="H681">
        <v>65000</v>
      </c>
      <c r="I681">
        <v>7605000</v>
      </c>
    </row>
    <row r="682" spans="1:9" x14ac:dyDescent="0.3">
      <c r="A682" s="1">
        <v>45747</v>
      </c>
      <c r="B682" t="s">
        <v>341</v>
      </c>
      <c r="C682" t="s">
        <v>53</v>
      </c>
      <c r="D682" t="s">
        <v>68</v>
      </c>
      <c r="E682" t="s">
        <v>21</v>
      </c>
      <c r="F682" t="s">
        <v>13</v>
      </c>
      <c r="G682">
        <v>117</v>
      </c>
      <c r="H682">
        <v>65000</v>
      </c>
      <c r="I682">
        <v>7605000</v>
      </c>
    </row>
    <row r="683" spans="1:9" x14ac:dyDescent="0.3">
      <c r="A683" s="1">
        <v>45687</v>
      </c>
      <c r="B683" t="s">
        <v>494</v>
      </c>
      <c r="C683" t="s">
        <v>53</v>
      </c>
      <c r="D683" t="s">
        <v>35</v>
      </c>
      <c r="E683" t="s">
        <v>36</v>
      </c>
      <c r="F683" t="s">
        <v>22</v>
      </c>
      <c r="G683">
        <v>117</v>
      </c>
      <c r="H683">
        <v>65000</v>
      </c>
      <c r="I683">
        <v>7605000</v>
      </c>
    </row>
    <row r="684" spans="1:9" x14ac:dyDescent="0.3">
      <c r="A684" s="1">
        <v>45896</v>
      </c>
      <c r="B684" t="s">
        <v>646</v>
      </c>
      <c r="C684" t="s">
        <v>53</v>
      </c>
      <c r="D684" t="s">
        <v>133</v>
      </c>
      <c r="E684" t="s">
        <v>17</v>
      </c>
      <c r="F684" t="s">
        <v>33</v>
      </c>
      <c r="G684">
        <v>117</v>
      </c>
      <c r="H684">
        <v>65000</v>
      </c>
      <c r="I684">
        <v>7605000</v>
      </c>
    </row>
    <row r="685" spans="1:9" x14ac:dyDescent="0.3">
      <c r="A685" s="1">
        <v>45780</v>
      </c>
      <c r="B685" t="s">
        <v>972</v>
      </c>
      <c r="C685" t="s">
        <v>53</v>
      </c>
      <c r="D685" t="s">
        <v>73</v>
      </c>
      <c r="E685" t="s">
        <v>36</v>
      </c>
      <c r="F685" t="s">
        <v>18</v>
      </c>
      <c r="G685">
        <v>117</v>
      </c>
      <c r="H685">
        <v>65000</v>
      </c>
      <c r="I685">
        <v>7605000</v>
      </c>
    </row>
    <row r="686" spans="1:9" x14ac:dyDescent="0.3">
      <c r="A686" s="1">
        <v>45870</v>
      </c>
      <c r="B686" t="s">
        <v>992</v>
      </c>
      <c r="C686" t="s">
        <v>15</v>
      </c>
      <c r="D686" t="s">
        <v>121</v>
      </c>
      <c r="E686" t="s">
        <v>32</v>
      </c>
      <c r="F686" t="s">
        <v>18</v>
      </c>
      <c r="G686">
        <v>117</v>
      </c>
      <c r="H686">
        <v>120000</v>
      </c>
      <c r="I686">
        <v>14040000</v>
      </c>
    </row>
    <row r="687" spans="1:9" x14ac:dyDescent="0.3">
      <c r="A687" s="1">
        <v>45923</v>
      </c>
      <c r="B687" t="s">
        <v>1102</v>
      </c>
      <c r="C687" t="s">
        <v>15</v>
      </c>
      <c r="D687" t="s">
        <v>38</v>
      </c>
      <c r="E687" t="s">
        <v>17</v>
      </c>
      <c r="F687" t="s">
        <v>18</v>
      </c>
      <c r="G687">
        <v>117</v>
      </c>
      <c r="H687">
        <v>120000</v>
      </c>
      <c r="I687">
        <v>14040000</v>
      </c>
    </row>
    <row r="688" spans="1:9" x14ac:dyDescent="0.3">
      <c r="A688" s="1">
        <v>45924</v>
      </c>
      <c r="B688" t="s">
        <v>1189</v>
      </c>
      <c r="C688" t="s">
        <v>24</v>
      </c>
      <c r="D688" t="s">
        <v>38</v>
      </c>
      <c r="E688" t="s">
        <v>17</v>
      </c>
      <c r="F688" t="s">
        <v>29</v>
      </c>
      <c r="G688">
        <v>117</v>
      </c>
      <c r="H688">
        <v>55000</v>
      </c>
      <c r="I688">
        <v>6435000</v>
      </c>
    </row>
    <row r="689" spans="1:9" x14ac:dyDescent="0.3">
      <c r="A689" s="1">
        <v>45796</v>
      </c>
      <c r="B689" t="s">
        <v>1212</v>
      </c>
      <c r="C689" t="s">
        <v>24</v>
      </c>
      <c r="D689" t="s">
        <v>40</v>
      </c>
      <c r="E689" t="s">
        <v>41</v>
      </c>
      <c r="F689" t="s">
        <v>33</v>
      </c>
      <c r="G689">
        <v>117</v>
      </c>
      <c r="H689">
        <v>55000</v>
      </c>
      <c r="I689">
        <v>6435000</v>
      </c>
    </row>
    <row r="690" spans="1:9" x14ac:dyDescent="0.3">
      <c r="A690" s="1">
        <v>45928</v>
      </c>
      <c r="B690" t="s">
        <v>282</v>
      </c>
      <c r="C690" t="s">
        <v>24</v>
      </c>
      <c r="D690" t="s">
        <v>83</v>
      </c>
      <c r="E690" t="s">
        <v>21</v>
      </c>
      <c r="F690" t="s">
        <v>13</v>
      </c>
      <c r="G690">
        <v>118</v>
      </c>
      <c r="H690">
        <v>55000</v>
      </c>
      <c r="I690">
        <v>6490000</v>
      </c>
    </row>
    <row r="691" spans="1:9" x14ac:dyDescent="0.3">
      <c r="A691" s="1">
        <v>46003</v>
      </c>
      <c r="B691" t="s">
        <v>528</v>
      </c>
      <c r="C691" t="s">
        <v>53</v>
      </c>
      <c r="D691" t="s">
        <v>65</v>
      </c>
      <c r="E691" t="s">
        <v>21</v>
      </c>
      <c r="F691" t="s">
        <v>13</v>
      </c>
      <c r="G691">
        <v>118</v>
      </c>
      <c r="H691">
        <v>65000</v>
      </c>
      <c r="I691">
        <v>7670000</v>
      </c>
    </row>
    <row r="692" spans="1:9" x14ac:dyDescent="0.3">
      <c r="A692" s="1">
        <v>45830</v>
      </c>
      <c r="B692" t="s">
        <v>897</v>
      </c>
      <c r="C692" t="s">
        <v>53</v>
      </c>
      <c r="D692" t="s">
        <v>191</v>
      </c>
      <c r="E692" t="s">
        <v>57</v>
      </c>
      <c r="F692" t="s">
        <v>29</v>
      </c>
      <c r="G692">
        <v>118</v>
      </c>
      <c r="H692">
        <v>65000</v>
      </c>
      <c r="I692">
        <v>7670000</v>
      </c>
    </row>
    <row r="693" spans="1:9" x14ac:dyDescent="0.3">
      <c r="A693" s="1">
        <v>45944</v>
      </c>
      <c r="B693" t="s">
        <v>946</v>
      </c>
      <c r="C693" t="s">
        <v>15</v>
      </c>
      <c r="D693" t="s">
        <v>61</v>
      </c>
      <c r="E693" t="s">
        <v>17</v>
      </c>
      <c r="F693" t="s">
        <v>33</v>
      </c>
      <c r="G693">
        <v>118</v>
      </c>
      <c r="H693">
        <v>120000</v>
      </c>
      <c r="I693">
        <v>14160000</v>
      </c>
    </row>
    <row r="694" spans="1:9" x14ac:dyDescent="0.3">
      <c r="A694" s="1">
        <v>45990</v>
      </c>
      <c r="B694" t="s">
        <v>100</v>
      </c>
      <c r="C694" t="s">
        <v>10</v>
      </c>
      <c r="D694" t="s">
        <v>101</v>
      </c>
      <c r="E694" t="s">
        <v>36</v>
      </c>
      <c r="F694" t="s">
        <v>22</v>
      </c>
      <c r="G694">
        <v>119</v>
      </c>
      <c r="H694">
        <v>75000</v>
      </c>
      <c r="I694">
        <v>8925000</v>
      </c>
    </row>
    <row r="695" spans="1:9" x14ac:dyDescent="0.3">
      <c r="A695" s="1">
        <v>45775</v>
      </c>
      <c r="B695" t="s">
        <v>132</v>
      </c>
      <c r="C695" t="s">
        <v>10</v>
      </c>
      <c r="D695" t="s">
        <v>133</v>
      </c>
      <c r="E695" t="s">
        <v>17</v>
      </c>
      <c r="F695" t="s">
        <v>18</v>
      </c>
      <c r="G695">
        <v>119</v>
      </c>
      <c r="H695">
        <v>75000</v>
      </c>
      <c r="I695">
        <v>8925000</v>
      </c>
    </row>
    <row r="696" spans="1:9" x14ac:dyDescent="0.3">
      <c r="A696" s="1">
        <v>45757</v>
      </c>
      <c r="B696" t="s">
        <v>234</v>
      </c>
      <c r="C696" t="s">
        <v>24</v>
      </c>
      <c r="D696" t="s">
        <v>56</v>
      </c>
      <c r="E696" t="s">
        <v>57</v>
      </c>
      <c r="F696" t="s">
        <v>22</v>
      </c>
      <c r="G696">
        <v>119</v>
      </c>
      <c r="H696">
        <v>55000</v>
      </c>
      <c r="I696">
        <v>6545000</v>
      </c>
    </row>
    <row r="697" spans="1:9" x14ac:dyDescent="0.3">
      <c r="A697" s="1">
        <v>46009</v>
      </c>
      <c r="B697" t="s">
        <v>306</v>
      </c>
      <c r="C697" t="s">
        <v>24</v>
      </c>
      <c r="D697" t="s">
        <v>121</v>
      </c>
      <c r="E697" t="s">
        <v>32</v>
      </c>
      <c r="F697" t="s">
        <v>33</v>
      </c>
      <c r="G697">
        <v>119</v>
      </c>
      <c r="H697">
        <v>55000</v>
      </c>
      <c r="I697">
        <v>6545000</v>
      </c>
    </row>
    <row r="698" spans="1:9" x14ac:dyDescent="0.3">
      <c r="A698" s="1">
        <v>45863</v>
      </c>
      <c r="B698" t="s">
        <v>452</v>
      </c>
      <c r="C698" t="s">
        <v>10</v>
      </c>
      <c r="D698" t="s">
        <v>65</v>
      </c>
      <c r="E698" t="s">
        <v>21</v>
      </c>
      <c r="F698" t="s">
        <v>22</v>
      </c>
      <c r="G698">
        <v>119</v>
      </c>
      <c r="H698">
        <v>75000</v>
      </c>
      <c r="I698">
        <v>8925000</v>
      </c>
    </row>
    <row r="699" spans="1:9" x14ac:dyDescent="0.3">
      <c r="A699" s="1">
        <v>45768</v>
      </c>
      <c r="B699" t="s">
        <v>709</v>
      </c>
      <c r="C699" t="s">
        <v>24</v>
      </c>
      <c r="D699" t="s">
        <v>59</v>
      </c>
      <c r="E699" t="s">
        <v>41</v>
      </c>
      <c r="F699" t="s">
        <v>13</v>
      </c>
      <c r="G699">
        <v>119</v>
      </c>
      <c r="H699">
        <v>55000</v>
      </c>
      <c r="I699">
        <v>6545000</v>
      </c>
    </row>
    <row r="700" spans="1:9" x14ac:dyDescent="0.3">
      <c r="A700" s="1">
        <v>45798</v>
      </c>
      <c r="B700" t="s">
        <v>126</v>
      </c>
      <c r="C700" t="s">
        <v>24</v>
      </c>
      <c r="D700" t="s">
        <v>35</v>
      </c>
      <c r="E700" t="s">
        <v>36</v>
      </c>
      <c r="F700" t="s">
        <v>33</v>
      </c>
      <c r="G700">
        <v>120</v>
      </c>
      <c r="H700">
        <v>55000</v>
      </c>
      <c r="I700">
        <v>6600000</v>
      </c>
    </row>
    <row r="701" spans="1:9" x14ac:dyDescent="0.3">
      <c r="A701" s="1">
        <v>45811</v>
      </c>
      <c r="B701" t="s">
        <v>290</v>
      </c>
      <c r="C701" t="s">
        <v>15</v>
      </c>
      <c r="D701" t="s">
        <v>104</v>
      </c>
      <c r="E701" t="s">
        <v>26</v>
      </c>
      <c r="F701" t="s">
        <v>18</v>
      </c>
      <c r="G701">
        <v>120</v>
      </c>
      <c r="H701">
        <v>120000</v>
      </c>
      <c r="I701">
        <v>14400000</v>
      </c>
    </row>
    <row r="702" spans="1:9" x14ac:dyDescent="0.3">
      <c r="A702" s="1">
        <v>45744</v>
      </c>
      <c r="B702" t="s">
        <v>395</v>
      </c>
      <c r="C702" t="s">
        <v>53</v>
      </c>
      <c r="D702" t="s">
        <v>104</v>
      </c>
      <c r="E702" t="s">
        <v>26</v>
      </c>
      <c r="F702" t="s">
        <v>13</v>
      </c>
      <c r="G702">
        <v>120</v>
      </c>
      <c r="H702">
        <v>65000</v>
      </c>
      <c r="I702">
        <v>7800000</v>
      </c>
    </row>
    <row r="703" spans="1:9" x14ac:dyDescent="0.3">
      <c r="A703" s="1">
        <v>45749</v>
      </c>
      <c r="B703" t="s">
        <v>774</v>
      </c>
      <c r="C703" t="s">
        <v>53</v>
      </c>
      <c r="D703" t="s">
        <v>35</v>
      </c>
      <c r="E703" t="s">
        <v>36</v>
      </c>
      <c r="F703" t="s">
        <v>13</v>
      </c>
      <c r="G703">
        <v>120</v>
      </c>
      <c r="H703">
        <v>65000</v>
      </c>
      <c r="I703">
        <v>7800000</v>
      </c>
    </row>
    <row r="704" spans="1:9" x14ac:dyDescent="0.3">
      <c r="A704" s="1">
        <v>45668</v>
      </c>
      <c r="B704" t="s">
        <v>978</v>
      </c>
      <c r="C704" t="s">
        <v>24</v>
      </c>
      <c r="D704" t="s">
        <v>89</v>
      </c>
      <c r="E704" t="s">
        <v>12</v>
      </c>
      <c r="F704" t="s">
        <v>22</v>
      </c>
      <c r="G704">
        <v>120</v>
      </c>
      <c r="H704">
        <v>55000</v>
      </c>
      <c r="I704">
        <v>6600000</v>
      </c>
    </row>
    <row r="705" spans="1:9" x14ac:dyDescent="0.3">
      <c r="A705" s="1">
        <v>45688</v>
      </c>
      <c r="B705" t="s">
        <v>1210</v>
      </c>
      <c r="C705" t="s">
        <v>24</v>
      </c>
      <c r="D705" t="s">
        <v>54</v>
      </c>
      <c r="E705" t="s">
        <v>21</v>
      </c>
      <c r="F705" t="s">
        <v>22</v>
      </c>
      <c r="G705">
        <v>120</v>
      </c>
      <c r="H705">
        <v>55000</v>
      </c>
      <c r="I705">
        <v>6600000</v>
      </c>
    </row>
    <row r="706" spans="1:9" x14ac:dyDescent="0.3">
      <c r="A706" s="1">
        <v>45903</v>
      </c>
      <c r="B706" t="s">
        <v>1245</v>
      </c>
      <c r="C706" t="s">
        <v>15</v>
      </c>
      <c r="D706" t="s">
        <v>104</v>
      </c>
      <c r="E706" t="s">
        <v>26</v>
      </c>
      <c r="F706" t="s">
        <v>22</v>
      </c>
      <c r="G706">
        <v>120</v>
      </c>
      <c r="H706">
        <v>120000</v>
      </c>
      <c r="I706">
        <v>14400000</v>
      </c>
    </row>
    <row r="707" spans="1:9" x14ac:dyDescent="0.3">
      <c r="A707" s="1">
        <v>45719</v>
      </c>
      <c r="B707" t="s">
        <v>103</v>
      </c>
      <c r="C707" t="s">
        <v>15</v>
      </c>
      <c r="D707" t="s">
        <v>104</v>
      </c>
      <c r="E707" t="s">
        <v>26</v>
      </c>
      <c r="F707" t="s">
        <v>22</v>
      </c>
      <c r="G707">
        <v>121</v>
      </c>
      <c r="H707">
        <v>120000</v>
      </c>
      <c r="I707">
        <v>14520000</v>
      </c>
    </row>
    <row r="708" spans="1:9" x14ac:dyDescent="0.3">
      <c r="A708" s="1">
        <v>45907</v>
      </c>
      <c r="B708" t="s">
        <v>255</v>
      </c>
      <c r="C708" t="s">
        <v>53</v>
      </c>
      <c r="D708" t="s">
        <v>35</v>
      </c>
      <c r="E708" t="s">
        <v>36</v>
      </c>
      <c r="F708" t="s">
        <v>18</v>
      </c>
      <c r="G708">
        <v>121</v>
      </c>
      <c r="H708">
        <v>65000</v>
      </c>
      <c r="I708">
        <v>7865000</v>
      </c>
    </row>
    <row r="709" spans="1:9" x14ac:dyDescent="0.3">
      <c r="A709" s="1">
        <v>45924</v>
      </c>
      <c r="B709" t="s">
        <v>510</v>
      </c>
      <c r="C709" t="s">
        <v>24</v>
      </c>
      <c r="D709" t="s">
        <v>110</v>
      </c>
      <c r="E709" t="s">
        <v>32</v>
      </c>
      <c r="F709" t="s">
        <v>18</v>
      </c>
      <c r="G709">
        <v>121</v>
      </c>
      <c r="H709">
        <v>55000</v>
      </c>
      <c r="I709">
        <v>6655000</v>
      </c>
    </row>
    <row r="710" spans="1:9" x14ac:dyDescent="0.3">
      <c r="A710" s="1">
        <v>45873</v>
      </c>
      <c r="B710" t="s">
        <v>861</v>
      </c>
      <c r="C710" t="s">
        <v>53</v>
      </c>
      <c r="D710" t="s">
        <v>11</v>
      </c>
      <c r="E710" t="s">
        <v>12</v>
      </c>
      <c r="F710" t="s">
        <v>33</v>
      </c>
      <c r="G710">
        <v>121</v>
      </c>
      <c r="H710">
        <v>65000</v>
      </c>
      <c r="I710">
        <v>7865000</v>
      </c>
    </row>
    <row r="711" spans="1:9" x14ac:dyDescent="0.3">
      <c r="A711" s="1">
        <v>45773</v>
      </c>
      <c r="B711" t="s">
        <v>927</v>
      </c>
      <c r="C711" t="s">
        <v>24</v>
      </c>
      <c r="D711" t="s">
        <v>49</v>
      </c>
      <c r="E711" t="s">
        <v>26</v>
      </c>
      <c r="F711" t="s">
        <v>22</v>
      </c>
      <c r="G711">
        <v>121</v>
      </c>
      <c r="H711">
        <v>55000</v>
      </c>
      <c r="I711">
        <v>6655000</v>
      </c>
    </row>
    <row r="712" spans="1:9" x14ac:dyDescent="0.3">
      <c r="A712" s="1">
        <v>45997</v>
      </c>
      <c r="B712" t="s">
        <v>989</v>
      </c>
      <c r="C712" t="s">
        <v>24</v>
      </c>
      <c r="D712" t="s">
        <v>116</v>
      </c>
      <c r="E712" t="s">
        <v>57</v>
      </c>
      <c r="F712" t="s">
        <v>13</v>
      </c>
      <c r="G712">
        <v>121</v>
      </c>
      <c r="H712">
        <v>55000</v>
      </c>
      <c r="I712">
        <v>6655000</v>
      </c>
    </row>
    <row r="713" spans="1:9" x14ac:dyDescent="0.3">
      <c r="A713" s="1">
        <v>45720</v>
      </c>
      <c r="B713" t="s">
        <v>161</v>
      </c>
      <c r="C713" t="s">
        <v>24</v>
      </c>
      <c r="D713" t="s">
        <v>47</v>
      </c>
      <c r="E713" t="s">
        <v>41</v>
      </c>
      <c r="F713" t="s">
        <v>13</v>
      </c>
      <c r="G713">
        <v>122</v>
      </c>
      <c r="H713">
        <v>55000</v>
      </c>
      <c r="I713">
        <v>6710000</v>
      </c>
    </row>
    <row r="714" spans="1:9" x14ac:dyDescent="0.3">
      <c r="A714" s="1">
        <v>45695</v>
      </c>
      <c r="B714" t="s">
        <v>287</v>
      </c>
      <c r="C714" t="s">
        <v>24</v>
      </c>
      <c r="D714" t="s">
        <v>59</v>
      </c>
      <c r="E714" t="s">
        <v>41</v>
      </c>
      <c r="F714" t="s">
        <v>33</v>
      </c>
      <c r="G714">
        <v>122</v>
      </c>
      <c r="H714">
        <v>55000</v>
      </c>
      <c r="I714">
        <v>6710000</v>
      </c>
    </row>
    <row r="715" spans="1:9" x14ac:dyDescent="0.3">
      <c r="A715" s="1">
        <v>45699</v>
      </c>
      <c r="B715" t="s">
        <v>379</v>
      </c>
      <c r="C715" t="s">
        <v>10</v>
      </c>
      <c r="D715" t="s">
        <v>59</v>
      </c>
      <c r="E715" t="s">
        <v>41</v>
      </c>
      <c r="F715" t="s">
        <v>22</v>
      </c>
      <c r="G715">
        <v>122</v>
      </c>
      <c r="H715">
        <v>75000</v>
      </c>
      <c r="I715">
        <v>9150000</v>
      </c>
    </row>
    <row r="716" spans="1:9" x14ac:dyDescent="0.3">
      <c r="A716" s="1">
        <v>45792</v>
      </c>
      <c r="B716" t="s">
        <v>696</v>
      </c>
      <c r="C716" t="s">
        <v>15</v>
      </c>
      <c r="D716" t="s">
        <v>71</v>
      </c>
      <c r="E716" t="s">
        <v>21</v>
      </c>
      <c r="F716" t="s">
        <v>13</v>
      </c>
      <c r="G716">
        <v>122</v>
      </c>
      <c r="H716">
        <v>120000</v>
      </c>
      <c r="I716">
        <v>14640000</v>
      </c>
    </row>
    <row r="717" spans="1:9" x14ac:dyDescent="0.3">
      <c r="A717" s="1">
        <v>45681</v>
      </c>
      <c r="B717" t="s">
        <v>755</v>
      </c>
      <c r="C717" t="s">
        <v>10</v>
      </c>
      <c r="D717" t="s">
        <v>184</v>
      </c>
      <c r="E717" t="s">
        <v>57</v>
      </c>
      <c r="F717" t="s">
        <v>18</v>
      </c>
      <c r="G717">
        <v>122</v>
      </c>
      <c r="H717">
        <v>75000</v>
      </c>
      <c r="I717">
        <v>9150000</v>
      </c>
    </row>
    <row r="718" spans="1:9" x14ac:dyDescent="0.3">
      <c r="A718" s="1">
        <v>45773</v>
      </c>
      <c r="B718" t="s">
        <v>1085</v>
      </c>
      <c r="C718" t="s">
        <v>53</v>
      </c>
      <c r="D718" t="s">
        <v>31</v>
      </c>
      <c r="E718" t="s">
        <v>32</v>
      </c>
      <c r="F718" t="s">
        <v>33</v>
      </c>
      <c r="G718">
        <v>122</v>
      </c>
      <c r="H718">
        <v>65000</v>
      </c>
      <c r="I718">
        <v>7930000</v>
      </c>
    </row>
    <row r="719" spans="1:9" x14ac:dyDescent="0.3">
      <c r="A719" s="1">
        <v>45811</v>
      </c>
      <c r="B719" t="s">
        <v>460</v>
      </c>
      <c r="C719" t="s">
        <v>24</v>
      </c>
      <c r="D719" t="s">
        <v>68</v>
      </c>
      <c r="E719" t="s">
        <v>21</v>
      </c>
      <c r="F719" t="s">
        <v>29</v>
      </c>
      <c r="G719">
        <v>123</v>
      </c>
      <c r="H719">
        <v>55000</v>
      </c>
      <c r="I719">
        <v>6765000</v>
      </c>
    </row>
    <row r="720" spans="1:9" x14ac:dyDescent="0.3">
      <c r="A720" s="1">
        <v>46022</v>
      </c>
      <c r="B720" t="s">
        <v>565</v>
      </c>
      <c r="C720" t="s">
        <v>10</v>
      </c>
      <c r="D720" t="s">
        <v>83</v>
      </c>
      <c r="E720" t="s">
        <v>21</v>
      </c>
      <c r="F720" t="s">
        <v>33</v>
      </c>
      <c r="G720">
        <v>123</v>
      </c>
      <c r="H720">
        <v>75000</v>
      </c>
      <c r="I720">
        <v>9225000</v>
      </c>
    </row>
    <row r="721" spans="1:9" x14ac:dyDescent="0.3">
      <c r="A721" s="1">
        <v>46005</v>
      </c>
      <c r="B721" t="s">
        <v>682</v>
      </c>
      <c r="C721" t="s">
        <v>53</v>
      </c>
      <c r="D721" t="s">
        <v>104</v>
      </c>
      <c r="E721" t="s">
        <v>26</v>
      </c>
      <c r="F721" t="s">
        <v>13</v>
      </c>
      <c r="G721">
        <v>123</v>
      </c>
      <c r="H721">
        <v>65000</v>
      </c>
      <c r="I721">
        <v>7995000</v>
      </c>
    </row>
    <row r="722" spans="1:9" x14ac:dyDescent="0.3">
      <c r="A722" s="1">
        <v>45771</v>
      </c>
      <c r="B722" t="s">
        <v>823</v>
      </c>
      <c r="C722" t="s">
        <v>53</v>
      </c>
      <c r="D722" t="s">
        <v>49</v>
      </c>
      <c r="E722" t="s">
        <v>26</v>
      </c>
      <c r="F722" t="s">
        <v>13</v>
      </c>
      <c r="G722">
        <v>123</v>
      </c>
      <c r="H722">
        <v>65000</v>
      </c>
      <c r="I722">
        <v>7995000</v>
      </c>
    </row>
    <row r="723" spans="1:9" x14ac:dyDescent="0.3">
      <c r="A723" s="1">
        <v>45854</v>
      </c>
      <c r="B723" t="s">
        <v>1122</v>
      </c>
      <c r="C723" t="s">
        <v>24</v>
      </c>
      <c r="D723" t="s">
        <v>79</v>
      </c>
      <c r="E723" t="s">
        <v>36</v>
      </c>
      <c r="F723" t="s">
        <v>18</v>
      </c>
      <c r="G723">
        <v>123</v>
      </c>
      <c r="H723">
        <v>55000</v>
      </c>
      <c r="I723">
        <v>6765000</v>
      </c>
    </row>
    <row r="724" spans="1:9" x14ac:dyDescent="0.3">
      <c r="A724" s="1">
        <v>45787</v>
      </c>
      <c r="B724" t="s">
        <v>1134</v>
      </c>
      <c r="C724" t="s">
        <v>15</v>
      </c>
      <c r="D724" t="s">
        <v>116</v>
      </c>
      <c r="E724" t="s">
        <v>57</v>
      </c>
      <c r="F724" t="s">
        <v>33</v>
      </c>
      <c r="G724">
        <v>123</v>
      </c>
      <c r="H724">
        <v>120000</v>
      </c>
      <c r="I724">
        <v>14760000</v>
      </c>
    </row>
    <row r="725" spans="1:9" x14ac:dyDescent="0.3">
      <c r="A725" s="1">
        <v>45774</v>
      </c>
      <c r="B725" t="s">
        <v>1167</v>
      </c>
      <c r="C725" t="s">
        <v>24</v>
      </c>
      <c r="D725" t="s">
        <v>28</v>
      </c>
      <c r="E725" t="s">
        <v>17</v>
      </c>
      <c r="F725" t="s">
        <v>13</v>
      </c>
      <c r="G725">
        <v>123</v>
      </c>
      <c r="H725">
        <v>55000</v>
      </c>
      <c r="I725">
        <v>6765000</v>
      </c>
    </row>
    <row r="726" spans="1:9" x14ac:dyDescent="0.3">
      <c r="A726" s="1">
        <v>45996</v>
      </c>
      <c r="B726" t="s">
        <v>1225</v>
      </c>
      <c r="C726" t="s">
        <v>15</v>
      </c>
      <c r="D726" t="s">
        <v>43</v>
      </c>
      <c r="E726" t="s">
        <v>26</v>
      </c>
      <c r="F726" t="s">
        <v>13</v>
      </c>
      <c r="G726">
        <v>123</v>
      </c>
      <c r="H726">
        <v>120000</v>
      </c>
      <c r="I726">
        <v>14760000</v>
      </c>
    </row>
    <row r="727" spans="1:9" x14ac:dyDescent="0.3">
      <c r="A727" s="1">
        <v>45823</v>
      </c>
      <c r="B727" t="s">
        <v>387</v>
      </c>
      <c r="C727" t="s">
        <v>53</v>
      </c>
      <c r="D727" t="s">
        <v>83</v>
      </c>
      <c r="E727" t="s">
        <v>21</v>
      </c>
      <c r="F727" t="s">
        <v>18</v>
      </c>
      <c r="G727">
        <v>124</v>
      </c>
      <c r="H727">
        <v>65000</v>
      </c>
      <c r="I727">
        <v>8060000</v>
      </c>
    </row>
    <row r="728" spans="1:9" x14ac:dyDescent="0.3">
      <c r="A728" s="1">
        <v>45899</v>
      </c>
      <c r="B728" t="s">
        <v>1155</v>
      </c>
      <c r="C728" t="s">
        <v>53</v>
      </c>
      <c r="D728" t="s">
        <v>40</v>
      </c>
      <c r="E728" t="s">
        <v>41</v>
      </c>
      <c r="F728" t="s">
        <v>13</v>
      </c>
      <c r="G728">
        <v>124</v>
      </c>
      <c r="H728">
        <v>65000</v>
      </c>
      <c r="I728">
        <v>8060000</v>
      </c>
    </row>
    <row r="729" spans="1:9" x14ac:dyDescent="0.3">
      <c r="A729" s="1">
        <v>45879</v>
      </c>
      <c r="B729" t="s">
        <v>1193</v>
      </c>
      <c r="C729" t="s">
        <v>10</v>
      </c>
      <c r="D729" t="s">
        <v>16</v>
      </c>
      <c r="E729" t="s">
        <v>17</v>
      </c>
      <c r="F729" t="s">
        <v>29</v>
      </c>
      <c r="G729">
        <v>124</v>
      </c>
      <c r="H729">
        <v>75000</v>
      </c>
      <c r="I729">
        <v>9300000</v>
      </c>
    </row>
    <row r="730" spans="1:9" x14ac:dyDescent="0.3">
      <c r="A730" s="1">
        <v>45786</v>
      </c>
      <c r="B730" t="s">
        <v>1219</v>
      </c>
      <c r="C730" t="s">
        <v>53</v>
      </c>
      <c r="D730" t="s">
        <v>49</v>
      </c>
      <c r="E730" t="s">
        <v>26</v>
      </c>
      <c r="F730" t="s">
        <v>22</v>
      </c>
      <c r="G730">
        <v>124</v>
      </c>
      <c r="H730">
        <v>65000</v>
      </c>
      <c r="I730">
        <v>8060000</v>
      </c>
    </row>
    <row r="731" spans="1:9" x14ac:dyDescent="0.3">
      <c r="A731" s="1">
        <v>45891</v>
      </c>
      <c r="B731" t="s">
        <v>211</v>
      </c>
      <c r="C731" t="s">
        <v>53</v>
      </c>
      <c r="D731" t="s">
        <v>121</v>
      </c>
      <c r="E731" t="s">
        <v>32</v>
      </c>
      <c r="F731" t="s">
        <v>22</v>
      </c>
      <c r="G731">
        <v>125</v>
      </c>
      <c r="H731">
        <v>65000</v>
      </c>
      <c r="I731">
        <v>8125000</v>
      </c>
    </row>
    <row r="732" spans="1:9" x14ac:dyDescent="0.3">
      <c r="A732" s="1">
        <v>45891</v>
      </c>
      <c r="B732" t="s">
        <v>270</v>
      </c>
      <c r="C732" t="s">
        <v>24</v>
      </c>
      <c r="D732" t="s">
        <v>191</v>
      </c>
      <c r="E732" t="s">
        <v>57</v>
      </c>
      <c r="F732" t="s">
        <v>18</v>
      </c>
      <c r="G732">
        <v>125</v>
      </c>
      <c r="H732">
        <v>55000</v>
      </c>
      <c r="I732">
        <v>6875000</v>
      </c>
    </row>
    <row r="733" spans="1:9" x14ac:dyDescent="0.3">
      <c r="A733" s="1">
        <v>45837</v>
      </c>
      <c r="B733" t="s">
        <v>505</v>
      </c>
      <c r="C733" t="s">
        <v>15</v>
      </c>
      <c r="D733" t="s">
        <v>121</v>
      </c>
      <c r="E733" t="s">
        <v>32</v>
      </c>
      <c r="F733" t="s">
        <v>29</v>
      </c>
      <c r="G733">
        <v>125</v>
      </c>
      <c r="H733">
        <v>120000</v>
      </c>
      <c r="I733">
        <v>15000000</v>
      </c>
    </row>
    <row r="734" spans="1:9" x14ac:dyDescent="0.3">
      <c r="A734" s="1">
        <v>45897</v>
      </c>
      <c r="B734" t="s">
        <v>550</v>
      </c>
      <c r="C734" t="s">
        <v>15</v>
      </c>
      <c r="D734" t="s">
        <v>79</v>
      </c>
      <c r="E734" t="s">
        <v>36</v>
      </c>
      <c r="F734" t="s">
        <v>29</v>
      </c>
      <c r="G734">
        <v>125</v>
      </c>
      <c r="H734">
        <v>120000</v>
      </c>
      <c r="I734">
        <v>15000000</v>
      </c>
    </row>
    <row r="735" spans="1:9" x14ac:dyDescent="0.3">
      <c r="A735" s="1">
        <v>45778</v>
      </c>
      <c r="B735" t="s">
        <v>695</v>
      </c>
      <c r="C735" t="s">
        <v>10</v>
      </c>
      <c r="D735" t="s">
        <v>49</v>
      </c>
      <c r="E735" t="s">
        <v>26</v>
      </c>
      <c r="F735" t="s">
        <v>22</v>
      </c>
      <c r="G735">
        <v>125</v>
      </c>
      <c r="H735">
        <v>75000</v>
      </c>
      <c r="I735">
        <v>9375000</v>
      </c>
    </row>
    <row r="736" spans="1:9" x14ac:dyDescent="0.3">
      <c r="A736" s="1">
        <v>45845</v>
      </c>
      <c r="B736" t="s">
        <v>721</v>
      </c>
      <c r="C736" t="s">
        <v>15</v>
      </c>
      <c r="D736" t="s">
        <v>63</v>
      </c>
      <c r="E736" t="s">
        <v>32</v>
      </c>
      <c r="F736" t="s">
        <v>13</v>
      </c>
      <c r="G736">
        <v>125</v>
      </c>
      <c r="H736">
        <v>120000</v>
      </c>
      <c r="I736">
        <v>15000000</v>
      </c>
    </row>
    <row r="737" spans="1:9" x14ac:dyDescent="0.3">
      <c r="A737" s="1">
        <v>45742</v>
      </c>
      <c r="B737" t="s">
        <v>768</v>
      </c>
      <c r="C737" t="s">
        <v>24</v>
      </c>
      <c r="D737" t="s">
        <v>45</v>
      </c>
      <c r="E737" t="s">
        <v>12</v>
      </c>
      <c r="F737" t="s">
        <v>18</v>
      </c>
      <c r="G737">
        <v>125</v>
      </c>
      <c r="H737">
        <v>55000</v>
      </c>
      <c r="I737">
        <v>6875000</v>
      </c>
    </row>
    <row r="738" spans="1:9" x14ac:dyDescent="0.3">
      <c r="A738" s="1">
        <v>45732</v>
      </c>
      <c r="B738" t="s">
        <v>1055</v>
      </c>
      <c r="C738" t="s">
        <v>24</v>
      </c>
      <c r="D738" t="s">
        <v>63</v>
      </c>
      <c r="E738" t="s">
        <v>32</v>
      </c>
      <c r="F738" t="s">
        <v>13</v>
      </c>
      <c r="G738">
        <v>125</v>
      </c>
      <c r="H738">
        <v>55000</v>
      </c>
      <c r="I738">
        <v>6875000</v>
      </c>
    </row>
    <row r="739" spans="1:9" x14ac:dyDescent="0.3">
      <c r="A739" s="1">
        <v>45737</v>
      </c>
      <c r="B739" t="s">
        <v>1081</v>
      </c>
      <c r="C739" t="s">
        <v>15</v>
      </c>
      <c r="D739" t="s">
        <v>51</v>
      </c>
      <c r="E739" t="s">
        <v>36</v>
      </c>
      <c r="F739" t="s">
        <v>22</v>
      </c>
      <c r="G739">
        <v>125</v>
      </c>
      <c r="H739">
        <v>120000</v>
      </c>
      <c r="I739">
        <v>15000000</v>
      </c>
    </row>
    <row r="740" spans="1:9" x14ac:dyDescent="0.3">
      <c r="A740" s="1">
        <v>45685</v>
      </c>
      <c r="B740" t="s">
        <v>37</v>
      </c>
      <c r="C740" t="s">
        <v>15</v>
      </c>
      <c r="D740" t="s">
        <v>38</v>
      </c>
      <c r="E740" t="s">
        <v>17</v>
      </c>
      <c r="F740" t="s">
        <v>18</v>
      </c>
      <c r="G740">
        <v>126</v>
      </c>
      <c r="H740">
        <v>120000</v>
      </c>
      <c r="I740">
        <v>15120000</v>
      </c>
    </row>
    <row r="741" spans="1:9" x14ac:dyDescent="0.3">
      <c r="A741" s="1">
        <v>45762</v>
      </c>
      <c r="B741" t="s">
        <v>443</v>
      </c>
      <c r="C741" t="s">
        <v>15</v>
      </c>
      <c r="D741" t="s">
        <v>25</v>
      </c>
      <c r="E741" t="s">
        <v>26</v>
      </c>
      <c r="F741" t="s">
        <v>18</v>
      </c>
      <c r="G741">
        <v>126</v>
      </c>
      <c r="H741">
        <v>120000</v>
      </c>
      <c r="I741">
        <v>15120000</v>
      </c>
    </row>
    <row r="742" spans="1:9" x14ac:dyDescent="0.3">
      <c r="A742" s="1">
        <v>45881</v>
      </c>
      <c r="B742" t="s">
        <v>544</v>
      </c>
      <c r="C742" t="s">
        <v>24</v>
      </c>
      <c r="D742" t="s">
        <v>81</v>
      </c>
      <c r="E742" t="s">
        <v>32</v>
      </c>
      <c r="F742" t="s">
        <v>13</v>
      </c>
      <c r="G742">
        <v>126</v>
      </c>
      <c r="H742">
        <v>55000</v>
      </c>
      <c r="I742">
        <v>6930000</v>
      </c>
    </row>
    <row r="743" spans="1:9" x14ac:dyDescent="0.3">
      <c r="A743" s="1">
        <v>45785</v>
      </c>
      <c r="B743" t="s">
        <v>568</v>
      </c>
      <c r="C743" t="s">
        <v>10</v>
      </c>
      <c r="D743" t="s">
        <v>141</v>
      </c>
      <c r="E743" t="s">
        <v>21</v>
      </c>
      <c r="F743" t="s">
        <v>29</v>
      </c>
      <c r="G743">
        <v>126</v>
      </c>
      <c r="H743">
        <v>75000</v>
      </c>
      <c r="I743">
        <v>9450000</v>
      </c>
    </row>
    <row r="744" spans="1:9" x14ac:dyDescent="0.3">
      <c r="A744" s="1">
        <v>45659</v>
      </c>
      <c r="B744" t="s">
        <v>581</v>
      </c>
      <c r="C744" t="s">
        <v>10</v>
      </c>
      <c r="D744" t="s">
        <v>61</v>
      </c>
      <c r="E744" t="s">
        <v>17</v>
      </c>
      <c r="F744" t="s">
        <v>22</v>
      </c>
      <c r="G744">
        <v>126</v>
      </c>
      <c r="H744">
        <v>75000</v>
      </c>
      <c r="I744">
        <v>9450000</v>
      </c>
    </row>
    <row r="745" spans="1:9" x14ac:dyDescent="0.3">
      <c r="A745" s="1">
        <v>46008</v>
      </c>
      <c r="B745" t="s">
        <v>1093</v>
      </c>
      <c r="C745" t="s">
        <v>53</v>
      </c>
      <c r="D745" t="s">
        <v>133</v>
      </c>
      <c r="E745" t="s">
        <v>17</v>
      </c>
      <c r="F745" t="s">
        <v>29</v>
      </c>
      <c r="G745">
        <v>126</v>
      </c>
      <c r="H745">
        <v>65000</v>
      </c>
      <c r="I745">
        <v>8190000</v>
      </c>
    </row>
    <row r="746" spans="1:9" x14ac:dyDescent="0.3">
      <c r="A746" s="1">
        <v>45979</v>
      </c>
      <c r="B746" t="s">
        <v>1106</v>
      </c>
      <c r="C746" t="s">
        <v>53</v>
      </c>
      <c r="D746" t="s">
        <v>305</v>
      </c>
      <c r="E746" t="s">
        <v>32</v>
      </c>
      <c r="F746" t="s">
        <v>22</v>
      </c>
      <c r="G746">
        <v>126</v>
      </c>
      <c r="H746">
        <v>65000</v>
      </c>
      <c r="I746">
        <v>8190000</v>
      </c>
    </row>
    <row r="747" spans="1:9" x14ac:dyDescent="0.3">
      <c r="A747" s="1">
        <v>45751</v>
      </c>
      <c r="B747" t="s">
        <v>1205</v>
      </c>
      <c r="C747" t="s">
        <v>15</v>
      </c>
      <c r="D747" t="s">
        <v>99</v>
      </c>
      <c r="E747" t="s">
        <v>32</v>
      </c>
      <c r="F747" t="s">
        <v>33</v>
      </c>
      <c r="G747">
        <v>126</v>
      </c>
      <c r="H747">
        <v>120000</v>
      </c>
      <c r="I747">
        <v>15120000</v>
      </c>
    </row>
    <row r="748" spans="1:9" x14ac:dyDescent="0.3">
      <c r="A748" s="1">
        <v>45993</v>
      </c>
      <c r="B748" t="s">
        <v>125</v>
      </c>
      <c r="C748" t="s">
        <v>15</v>
      </c>
      <c r="D748" t="s">
        <v>101</v>
      </c>
      <c r="E748" t="s">
        <v>36</v>
      </c>
      <c r="F748" t="s">
        <v>18</v>
      </c>
      <c r="G748">
        <v>127</v>
      </c>
      <c r="H748">
        <v>120000</v>
      </c>
      <c r="I748">
        <v>15240000</v>
      </c>
    </row>
    <row r="749" spans="1:9" x14ac:dyDescent="0.3">
      <c r="A749" s="1">
        <v>45692</v>
      </c>
      <c r="B749" t="s">
        <v>223</v>
      </c>
      <c r="C749" t="s">
        <v>15</v>
      </c>
      <c r="D749" t="s">
        <v>68</v>
      </c>
      <c r="E749" t="s">
        <v>21</v>
      </c>
      <c r="F749" t="s">
        <v>29</v>
      </c>
      <c r="G749">
        <v>127</v>
      </c>
      <c r="H749">
        <v>120000</v>
      </c>
      <c r="I749">
        <v>15240000</v>
      </c>
    </row>
    <row r="750" spans="1:9" x14ac:dyDescent="0.3">
      <c r="A750" s="1">
        <v>45949</v>
      </c>
      <c r="B750" t="s">
        <v>281</v>
      </c>
      <c r="C750" t="s">
        <v>53</v>
      </c>
      <c r="D750" t="s">
        <v>86</v>
      </c>
      <c r="E750" t="s">
        <v>12</v>
      </c>
      <c r="F750" t="s">
        <v>13</v>
      </c>
      <c r="G750">
        <v>127</v>
      </c>
      <c r="H750">
        <v>65000</v>
      </c>
      <c r="I750">
        <v>8255000</v>
      </c>
    </row>
    <row r="751" spans="1:9" x14ac:dyDescent="0.3">
      <c r="A751" s="1">
        <v>45846</v>
      </c>
      <c r="B751" t="s">
        <v>368</v>
      </c>
      <c r="C751" t="s">
        <v>15</v>
      </c>
      <c r="D751" t="s">
        <v>95</v>
      </c>
      <c r="E751" t="s">
        <v>26</v>
      </c>
      <c r="F751" t="s">
        <v>33</v>
      </c>
      <c r="G751">
        <v>127</v>
      </c>
      <c r="H751">
        <v>120000</v>
      </c>
      <c r="I751">
        <v>15240000</v>
      </c>
    </row>
    <row r="752" spans="1:9" x14ac:dyDescent="0.3">
      <c r="A752" s="1">
        <v>45794</v>
      </c>
      <c r="B752" t="s">
        <v>378</v>
      </c>
      <c r="C752" t="s">
        <v>10</v>
      </c>
      <c r="D752" t="s">
        <v>136</v>
      </c>
      <c r="E752" t="s">
        <v>36</v>
      </c>
      <c r="F752" t="s">
        <v>18</v>
      </c>
      <c r="G752">
        <v>127</v>
      </c>
      <c r="H752">
        <v>75000</v>
      </c>
      <c r="I752">
        <v>9525000</v>
      </c>
    </row>
    <row r="753" spans="1:9" x14ac:dyDescent="0.3">
      <c r="A753" s="1">
        <v>45667</v>
      </c>
      <c r="B753" t="s">
        <v>473</v>
      </c>
      <c r="C753" t="s">
        <v>24</v>
      </c>
      <c r="D753" t="s">
        <v>51</v>
      </c>
      <c r="E753" t="s">
        <v>36</v>
      </c>
      <c r="F753" t="s">
        <v>22</v>
      </c>
      <c r="G753">
        <v>127</v>
      </c>
      <c r="H753">
        <v>55000</v>
      </c>
      <c r="I753">
        <v>6985000</v>
      </c>
    </row>
    <row r="754" spans="1:9" x14ac:dyDescent="0.3">
      <c r="A754" s="1">
        <v>45800</v>
      </c>
      <c r="B754" t="s">
        <v>511</v>
      </c>
      <c r="C754" t="s">
        <v>24</v>
      </c>
      <c r="D754" t="s">
        <v>89</v>
      </c>
      <c r="E754" t="s">
        <v>12</v>
      </c>
      <c r="F754" t="s">
        <v>29</v>
      </c>
      <c r="G754">
        <v>127</v>
      </c>
      <c r="H754">
        <v>55000</v>
      </c>
      <c r="I754">
        <v>6985000</v>
      </c>
    </row>
    <row r="755" spans="1:9" x14ac:dyDescent="0.3">
      <c r="A755" s="1">
        <v>45910</v>
      </c>
      <c r="B755" t="s">
        <v>616</v>
      </c>
      <c r="C755" t="s">
        <v>15</v>
      </c>
      <c r="D755" t="s">
        <v>141</v>
      </c>
      <c r="E755" t="s">
        <v>21</v>
      </c>
      <c r="F755" t="s">
        <v>18</v>
      </c>
      <c r="G755">
        <v>127</v>
      </c>
      <c r="H755">
        <v>120000</v>
      </c>
      <c r="I755">
        <v>15240000</v>
      </c>
    </row>
    <row r="756" spans="1:9" x14ac:dyDescent="0.3">
      <c r="A756" s="1">
        <v>46012</v>
      </c>
      <c r="B756" t="s">
        <v>759</v>
      </c>
      <c r="C756" t="s">
        <v>10</v>
      </c>
      <c r="D756" t="s">
        <v>152</v>
      </c>
      <c r="E756" t="s">
        <v>36</v>
      </c>
      <c r="F756" t="s">
        <v>29</v>
      </c>
      <c r="G756">
        <v>127</v>
      </c>
      <c r="H756">
        <v>75000</v>
      </c>
      <c r="I756">
        <v>9525000</v>
      </c>
    </row>
    <row r="757" spans="1:9" x14ac:dyDescent="0.3">
      <c r="A757" s="1">
        <v>45823</v>
      </c>
      <c r="B757" t="s">
        <v>1054</v>
      </c>
      <c r="C757" t="s">
        <v>10</v>
      </c>
      <c r="D757" t="s">
        <v>83</v>
      </c>
      <c r="E757" t="s">
        <v>21</v>
      </c>
      <c r="F757" t="s">
        <v>13</v>
      </c>
      <c r="G757">
        <v>127</v>
      </c>
      <c r="H757">
        <v>75000</v>
      </c>
      <c r="I757">
        <v>9525000</v>
      </c>
    </row>
    <row r="758" spans="1:9" x14ac:dyDescent="0.3">
      <c r="A758" s="1">
        <v>45712</v>
      </c>
      <c r="B758" t="s">
        <v>1078</v>
      </c>
      <c r="C758" t="s">
        <v>15</v>
      </c>
      <c r="D758" t="s">
        <v>269</v>
      </c>
      <c r="E758" t="s">
        <v>32</v>
      </c>
      <c r="F758" t="s">
        <v>13</v>
      </c>
      <c r="G758">
        <v>127</v>
      </c>
      <c r="H758">
        <v>120000</v>
      </c>
      <c r="I758">
        <v>15240000</v>
      </c>
    </row>
    <row r="759" spans="1:9" x14ac:dyDescent="0.3">
      <c r="A759" s="1">
        <v>45775</v>
      </c>
      <c r="B759" t="s">
        <v>1088</v>
      </c>
      <c r="C759" t="s">
        <v>53</v>
      </c>
      <c r="D759" t="s">
        <v>95</v>
      </c>
      <c r="E759" t="s">
        <v>26</v>
      </c>
      <c r="F759" t="s">
        <v>13</v>
      </c>
      <c r="G759">
        <v>127</v>
      </c>
      <c r="H759">
        <v>65000</v>
      </c>
      <c r="I759">
        <v>8255000</v>
      </c>
    </row>
    <row r="760" spans="1:9" x14ac:dyDescent="0.3">
      <c r="A760" s="1">
        <v>45980</v>
      </c>
      <c r="B760" t="s">
        <v>256</v>
      </c>
      <c r="C760" t="s">
        <v>15</v>
      </c>
      <c r="D760" t="s">
        <v>101</v>
      </c>
      <c r="E760" t="s">
        <v>36</v>
      </c>
      <c r="F760" t="s">
        <v>13</v>
      </c>
      <c r="G760">
        <v>128</v>
      </c>
      <c r="H760">
        <v>120000</v>
      </c>
      <c r="I760">
        <v>15360000</v>
      </c>
    </row>
    <row r="761" spans="1:9" x14ac:dyDescent="0.3">
      <c r="A761" s="1">
        <v>45925</v>
      </c>
      <c r="B761" t="s">
        <v>762</v>
      </c>
      <c r="C761" t="s">
        <v>15</v>
      </c>
      <c r="D761" t="s">
        <v>95</v>
      </c>
      <c r="E761" t="s">
        <v>26</v>
      </c>
      <c r="F761" t="s">
        <v>13</v>
      </c>
      <c r="G761">
        <v>128</v>
      </c>
      <c r="H761">
        <v>120000</v>
      </c>
      <c r="I761">
        <v>15360000</v>
      </c>
    </row>
    <row r="762" spans="1:9" x14ac:dyDescent="0.3">
      <c r="A762" s="1">
        <v>45850</v>
      </c>
      <c r="B762" t="s">
        <v>1096</v>
      </c>
      <c r="C762" t="s">
        <v>15</v>
      </c>
      <c r="D762" t="s">
        <v>71</v>
      </c>
      <c r="E762" t="s">
        <v>21</v>
      </c>
      <c r="F762" t="s">
        <v>18</v>
      </c>
      <c r="G762">
        <v>128</v>
      </c>
      <c r="H762">
        <v>120000</v>
      </c>
      <c r="I762">
        <v>15360000</v>
      </c>
    </row>
    <row r="763" spans="1:9" x14ac:dyDescent="0.3">
      <c r="A763" s="1">
        <v>45882</v>
      </c>
      <c r="B763" t="s">
        <v>495</v>
      </c>
      <c r="C763" t="s">
        <v>53</v>
      </c>
      <c r="D763" t="s">
        <v>59</v>
      </c>
      <c r="E763" t="s">
        <v>41</v>
      </c>
      <c r="F763" t="s">
        <v>29</v>
      </c>
      <c r="G763">
        <v>129</v>
      </c>
      <c r="H763">
        <v>65000</v>
      </c>
      <c r="I763">
        <v>8385000</v>
      </c>
    </row>
    <row r="764" spans="1:9" x14ac:dyDescent="0.3">
      <c r="A764" s="1">
        <v>45828</v>
      </c>
      <c r="B764" t="s">
        <v>643</v>
      </c>
      <c r="C764" t="s">
        <v>53</v>
      </c>
      <c r="D764" t="s">
        <v>91</v>
      </c>
      <c r="E764" t="s">
        <v>17</v>
      </c>
      <c r="F764" t="s">
        <v>33</v>
      </c>
      <c r="G764">
        <v>129</v>
      </c>
      <c r="H764">
        <v>65000</v>
      </c>
      <c r="I764">
        <v>8385000</v>
      </c>
    </row>
    <row r="765" spans="1:9" x14ac:dyDescent="0.3">
      <c r="A765" s="1">
        <v>45689</v>
      </c>
      <c r="B765" t="s">
        <v>655</v>
      </c>
      <c r="C765" t="s">
        <v>53</v>
      </c>
      <c r="D765" t="s">
        <v>45</v>
      </c>
      <c r="E765" t="s">
        <v>12</v>
      </c>
      <c r="F765" t="s">
        <v>29</v>
      </c>
      <c r="G765">
        <v>129</v>
      </c>
      <c r="H765">
        <v>65000</v>
      </c>
      <c r="I765">
        <v>8385000</v>
      </c>
    </row>
    <row r="766" spans="1:9" x14ac:dyDescent="0.3">
      <c r="A766" s="1">
        <v>45833</v>
      </c>
      <c r="B766" t="s">
        <v>688</v>
      </c>
      <c r="C766" t="s">
        <v>10</v>
      </c>
      <c r="D766" t="s">
        <v>68</v>
      </c>
      <c r="E766" t="s">
        <v>21</v>
      </c>
      <c r="F766" t="s">
        <v>22</v>
      </c>
      <c r="G766">
        <v>129</v>
      </c>
      <c r="H766">
        <v>75000</v>
      </c>
      <c r="I766">
        <v>9675000</v>
      </c>
    </row>
    <row r="767" spans="1:9" x14ac:dyDescent="0.3">
      <c r="A767" s="1">
        <v>45836</v>
      </c>
      <c r="B767" t="s">
        <v>727</v>
      </c>
      <c r="C767" t="s">
        <v>24</v>
      </c>
      <c r="D767" t="s">
        <v>31</v>
      </c>
      <c r="E767" t="s">
        <v>32</v>
      </c>
      <c r="F767" t="s">
        <v>33</v>
      </c>
      <c r="G767">
        <v>129</v>
      </c>
      <c r="H767">
        <v>55000</v>
      </c>
      <c r="I767">
        <v>7095000</v>
      </c>
    </row>
    <row r="768" spans="1:9" x14ac:dyDescent="0.3">
      <c r="A768" s="1">
        <v>46013</v>
      </c>
      <c r="B768" t="s">
        <v>760</v>
      </c>
      <c r="C768" t="s">
        <v>15</v>
      </c>
      <c r="D768" t="s">
        <v>68</v>
      </c>
      <c r="E768" t="s">
        <v>21</v>
      </c>
      <c r="F768" t="s">
        <v>29</v>
      </c>
      <c r="G768">
        <v>129</v>
      </c>
      <c r="H768">
        <v>120000</v>
      </c>
      <c r="I768">
        <v>15480000</v>
      </c>
    </row>
    <row r="769" spans="1:9" x14ac:dyDescent="0.3">
      <c r="A769" s="1">
        <v>46004</v>
      </c>
      <c r="B769" t="s">
        <v>816</v>
      </c>
      <c r="C769" t="s">
        <v>24</v>
      </c>
      <c r="D769" t="s">
        <v>54</v>
      </c>
      <c r="E769" t="s">
        <v>21</v>
      </c>
      <c r="F769" t="s">
        <v>29</v>
      </c>
      <c r="G769">
        <v>129</v>
      </c>
      <c r="H769">
        <v>55000</v>
      </c>
      <c r="I769">
        <v>7095000</v>
      </c>
    </row>
    <row r="770" spans="1:9" x14ac:dyDescent="0.3">
      <c r="A770" s="1">
        <v>45693</v>
      </c>
      <c r="B770" t="s">
        <v>955</v>
      </c>
      <c r="C770" t="s">
        <v>15</v>
      </c>
      <c r="D770" t="s">
        <v>38</v>
      </c>
      <c r="E770" t="s">
        <v>17</v>
      </c>
      <c r="F770" t="s">
        <v>22</v>
      </c>
      <c r="G770">
        <v>129</v>
      </c>
      <c r="H770">
        <v>120000</v>
      </c>
      <c r="I770">
        <v>15480000</v>
      </c>
    </row>
    <row r="771" spans="1:9" x14ac:dyDescent="0.3">
      <c r="A771" s="1">
        <v>45969</v>
      </c>
      <c r="B771" t="s">
        <v>717</v>
      </c>
      <c r="C771" t="s">
        <v>15</v>
      </c>
      <c r="D771" t="s">
        <v>141</v>
      </c>
      <c r="E771" t="s">
        <v>21</v>
      </c>
      <c r="F771" t="s">
        <v>18</v>
      </c>
      <c r="G771">
        <v>130</v>
      </c>
      <c r="H771">
        <v>120000</v>
      </c>
      <c r="I771">
        <v>15600000</v>
      </c>
    </row>
    <row r="772" spans="1:9" x14ac:dyDescent="0.3">
      <c r="A772" s="1">
        <v>45869</v>
      </c>
      <c r="B772" t="s">
        <v>852</v>
      </c>
      <c r="C772" t="s">
        <v>53</v>
      </c>
      <c r="D772" t="s">
        <v>91</v>
      </c>
      <c r="E772" t="s">
        <v>17</v>
      </c>
      <c r="F772" t="s">
        <v>18</v>
      </c>
      <c r="G772">
        <v>130</v>
      </c>
      <c r="H772">
        <v>65000</v>
      </c>
      <c r="I772">
        <v>8450000</v>
      </c>
    </row>
    <row r="773" spans="1:9" x14ac:dyDescent="0.3">
      <c r="A773" s="1">
        <v>45724</v>
      </c>
      <c r="B773" t="s">
        <v>960</v>
      </c>
      <c r="C773" t="s">
        <v>24</v>
      </c>
      <c r="D773" t="s">
        <v>20</v>
      </c>
      <c r="E773" t="s">
        <v>21</v>
      </c>
      <c r="F773" t="s">
        <v>13</v>
      </c>
      <c r="G773">
        <v>130</v>
      </c>
      <c r="H773">
        <v>55000</v>
      </c>
      <c r="I773">
        <v>7150000</v>
      </c>
    </row>
    <row r="774" spans="1:9" x14ac:dyDescent="0.3">
      <c r="A774" s="1">
        <v>45679</v>
      </c>
      <c r="B774" t="s">
        <v>1156</v>
      </c>
      <c r="C774" t="s">
        <v>53</v>
      </c>
      <c r="D774" t="s">
        <v>11</v>
      </c>
      <c r="E774" t="s">
        <v>12</v>
      </c>
      <c r="F774" t="s">
        <v>22</v>
      </c>
      <c r="G774">
        <v>130</v>
      </c>
      <c r="H774">
        <v>65000</v>
      </c>
      <c r="I774">
        <v>8450000</v>
      </c>
    </row>
    <row r="775" spans="1:9" x14ac:dyDescent="0.3">
      <c r="A775" s="1">
        <v>45700</v>
      </c>
      <c r="B775" t="s">
        <v>167</v>
      </c>
      <c r="C775" t="s">
        <v>24</v>
      </c>
      <c r="D775" t="s">
        <v>68</v>
      </c>
      <c r="E775" t="s">
        <v>21</v>
      </c>
      <c r="F775" t="s">
        <v>33</v>
      </c>
      <c r="G775">
        <v>131</v>
      </c>
      <c r="H775">
        <v>55000</v>
      </c>
      <c r="I775">
        <v>7205000</v>
      </c>
    </row>
    <row r="776" spans="1:9" x14ac:dyDescent="0.3">
      <c r="A776" s="1">
        <v>45746</v>
      </c>
      <c r="B776" t="s">
        <v>445</v>
      </c>
      <c r="C776" t="s">
        <v>15</v>
      </c>
      <c r="D776" t="s">
        <v>65</v>
      </c>
      <c r="E776" t="s">
        <v>21</v>
      </c>
      <c r="F776" t="s">
        <v>29</v>
      </c>
      <c r="G776">
        <v>131</v>
      </c>
      <c r="H776">
        <v>120000</v>
      </c>
      <c r="I776">
        <v>15720000</v>
      </c>
    </row>
    <row r="777" spans="1:9" x14ac:dyDescent="0.3">
      <c r="A777" s="1">
        <v>46005</v>
      </c>
      <c r="B777" t="s">
        <v>584</v>
      </c>
      <c r="C777" t="s">
        <v>53</v>
      </c>
      <c r="D777" t="s">
        <v>65</v>
      </c>
      <c r="E777" t="s">
        <v>21</v>
      </c>
      <c r="F777" t="s">
        <v>22</v>
      </c>
      <c r="G777">
        <v>131</v>
      </c>
      <c r="H777">
        <v>65000</v>
      </c>
      <c r="I777">
        <v>8515000</v>
      </c>
    </row>
    <row r="778" spans="1:9" x14ac:dyDescent="0.3">
      <c r="A778" s="1">
        <v>45887</v>
      </c>
      <c r="B778" t="s">
        <v>889</v>
      </c>
      <c r="C778" t="s">
        <v>53</v>
      </c>
      <c r="D778" t="s">
        <v>124</v>
      </c>
      <c r="E778" t="s">
        <v>26</v>
      </c>
      <c r="F778" t="s">
        <v>13</v>
      </c>
      <c r="G778">
        <v>131</v>
      </c>
      <c r="H778">
        <v>65000</v>
      </c>
      <c r="I778">
        <v>8515000</v>
      </c>
    </row>
    <row r="779" spans="1:9" x14ac:dyDescent="0.3">
      <c r="A779" s="1">
        <v>45935</v>
      </c>
      <c r="B779" t="s">
        <v>918</v>
      </c>
      <c r="C779" t="s">
        <v>15</v>
      </c>
      <c r="D779" t="s">
        <v>121</v>
      </c>
      <c r="E779" t="s">
        <v>32</v>
      </c>
      <c r="F779" t="s">
        <v>22</v>
      </c>
      <c r="G779">
        <v>131</v>
      </c>
      <c r="H779">
        <v>120000</v>
      </c>
      <c r="I779">
        <v>15720000</v>
      </c>
    </row>
    <row r="780" spans="1:9" x14ac:dyDescent="0.3">
      <c r="A780" s="1">
        <v>45873</v>
      </c>
      <c r="B780" t="s">
        <v>999</v>
      </c>
      <c r="C780" t="s">
        <v>53</v>
      </c>
      <c r="D780" t="s">
        <v>59</v>
      </c>
      <c r="E780" t="s">
        <v>41</v>
      </c>
      <c r="F780" t="s">
        <v>13</v>
      </c>
      <c r="G780">
        <v>131</v>
      </c>
      <c r="H780">
        <v>65000</v>
      </c>
      <c r="I780">
        <v>8515000</v>
      </c>
    </row>
    <row r="781" spans="1:9" x14ac:dyDescent="0.3">
      <c r="A781" s="1">
        <v>45860</v>
      </c>
      <c r="B781" t="s">
        <v>137</v>
      </c>
      <c r="C781" t="s">
        <v>24</v>
      </c>
      <c r="D781" t="s">
        <v>93</v>
      </c>
      <c r="E781" t="s">
        <v>41</v>
      </c>
      <c r="F781" t="s">
        <v>29</v>
      </c>
      <c r="G781">
        <v>132</v>
      </c>
      <c r="H781">
        <v>55000</v>
      </c>
      <c r="I781">
        <v>7260000</v>
      </c>
    </row>
    <row r="782" spans="1:9" x14ac:dyDescent="0.3">
      <c r="A782" s="1">
        <v>45706</v>
      </c>
      <c r="B782" t="s">
        <v>202</v>
      </c>
      <c r="C782" t="s">
        <v>53</v>
      </c>
      <c r="D782" t="s">
        <v>119</v>
      </c>
      <c r="E782" t="s">
        <v>36</v>
      </c>
      <c r="F782" t="s">
        <v>22</v>
      </c>
      <c r="G782">
        <v>132</v>
      </c>
      <c r="H782">
        <v>65000</v>
      </c>
      <c r="I782">
        <v>8580000</v>
      </c>
    </row>
    <row r="783" spans="1:9" x14ac:dyDescent="0.3">
      <c r="A783" s="1">
        <v>45705</v>
      </c>
      <c r="B783" t="s">
        <v>296</v>
      </c>
      <c r="C783" t="s">
        <v>15</v>
      </c>
      <c r="D783" t="s">
        <v>269</v>
      </c>
      <c r="E783" t="s">
        <v>32</v>
      </c>
      <c r="F783" t="s">
        <v>33</v>
      </c>
      <c r="G783">
        <v>132</v>
      </c>
      <c r="H783">
        <v>120000</v>
      </c>
      <c r="I783">
        <v>15840000</v>
      </c>
    </row>
    <row r="784" spans="1:9" x14ac:dyDescent="0.3">
      <c r="A784" s="1">
        <v>45718</v>
      </c>
      <c r="B784" t="s">
        <v>308</v>
      </c>
      <c r="C784" t="s">
        <v>24</v>
      </c>
      <c r="D784" t="s">
        <v>89</v>
      </c>
      <c r="E784" t="s">
        <v>12</v>
      </c>
      <c r="F784" t="s">
        <v>13</v>
      </c>
      <c r="G784">
        <v>132</v>
      </c>
      <c r="H784">
        <v>55000</v>
      </c>
      <c r="I784">
        <v>7260000</v>
      </c>
    </row>
    <row r="785" spans="1:9" x14ac:dyDescent="0.3">
      <c r="A785" s="1">
        <v>45936</v>
      </c>
      <c r="B785" t="s">
        <v>339</v>
      </c>
      <c r="C785" t="s">
        <v>24</v>
      </c>
      <c r="D785" t="s">
        <v>79</v>
      </c>
      <c r="E785" t="s">
        <v>36</v>
      </c>
      <c r="F785" t="s">
        <v>22</v>
      </c>
      <c r="G785">
        <v>132</v>
      </c>
      <c r="H785">
        <v>55000</v>
      </c>
      <c r="I785">
        <v>7260000</v>
      </c>
    </row>
    <row r="786" spans="1:9" x14ac:dyDescent="0.3">
      <c r="A786" s="1">
        <v>46002</v>
      </c>
      <c r="B786" t="s">
        <v>530</v>
      </c>
      <c r="C786" t="s">
        <v>24</v>
      </c>
      <c r="D786" t="s">
        <v>71</v>
      </c>
      <c r="E786" t="s">
        <v>21</v>
      </c>
      <c r="F786" t="s">
        <v>13</v>
      </c>
      <c r="G786">
        <v>132</v>
      </c>
      <c r="H786">
        <v>55000</v>
      </c>
      <c r="I786">
        <v>7260000</v>
      </c>
    </row>
    <row r="787" spans="1:9" x14ac:dyDescent="0.3">
      <c r="A787" s="1">
        <v>45958</v>
      </c>
      <c r="B787" t="s">
        <v>649</v>
      </c>
      <c r="C787" t="s">
        <v>10</v>
      </c>
      <c r="D787" t="s">
        <v>51</v>
      </c>
      <c r="E787" t="s">
        <v>36</v>
      </c>
      <c r="F787" t="s">
        <v>13</v>
      </c>
      <c r="G787">
        <v>132</v>
      </c>
      <c r="H787">
        <v>75000</v>
      </c>
      <c r="I787">
        <v>9900000</v>
      </c>
    </row>
    <row r="788" spans="1:9" x14ac:dyDescent="0.3">
      <c r="A788" s="1">
        <v>45729</v>
      </c>
      <c r="B788" t="s">
        <v>714</v>
      </c>
      <c r="C788" t="s">
        <v>53</v>
      </c>
      <c r="D788" t="s">
        <v>305</v>
      </c>
      <c r="E788" t="s">
        <v>32</v>
      </c>
      <c r="F788" t="s">
        <v>22</v>
      </c>
      <c r="G788">
        <v>132</v>
      </c>
      <c r="H788">
        <v>65000</v>
      </c>
      <c r="I788">
        <v>8580000</v>
      </c>
    </row>
    <row r="789" spans="1:9" x14ac:dyDescent="0.3">
      <c r="A789" s="1">
        <v>45696</v>
      </c>
      <c r="B789" t="s">
        <v>725</v>
      </c>
      <c r="C789" t="s">
        <v>53</v>
      </c>
      <c r="D789" t="s">
        <v>54</v>
      </c>
      <c r="E789" t="s">
        <v>21</v>
      </c>
      <c r="F789" t="s">
        <v>13</v>
      </c>
      <c r="G789">
        <v>132</v>
      </c>
      <c r="H789">
        <v>65000</v>
      </c>
      <c r="I789">
        <v>8580000</v>
      </c>
    </row>
    <row r="790" spans="1:9" x14ac:dyDescent="0.3">
      <c r="A790" s="1">
        <v>45977</v>
      </c>
      <c r="B790" t="s">
        <v>820</v>
      </c>
      <c r="C790" t="s">
        <v>10</v>
      </c>
      <c r="D790" t="s">
        <v>51</v>
      </c>
      <c r="E790" t="s">
        <v>36</v>
      </c>
      <c r="F790" t="s">
        <v>13</v>
      </c>
      <c r="G790">
        <v>132</v>
      </c>
      <c r="H790">
        <v>75000</v>
      </c>
      <c r="I790">
        <v>9900000</v>
      </c>
    </row>
    <row r="791" spans="1:9" x14ac:dyDescent="0.3">
      <c r="A791" s="1">
        <v>45762</v>
      </c>
      <c r="B791" t="s">
        <v>885</v>
      </c>
      <c r="C791" t="s">
        <v>10</v>
      </c>
      <c r="D791" t="s">
        <v>73</v>
      </c>
      <c r="E791" t="s">
        <v>36</v>
      </c>
      <c r="F791" t="s">
        <v>18</v>
      </c>
      <c r="G791">
        <v>132</v>
      </c>
      <c r="H791">
        <v>75000</v>
      </c>
      <c r="I791">
        <v>9900000</v>
      </c>
    </row>
    <row r="792" spans="1:9" x14ac:dyDescent="0.3">
      <c r="A792" s="1">
        <v>45796</v>
      </c>
      <c r="B792" t="s">
        <v>950</v>
      </c>
      <c r="C792" t="s">
        <v>10</v>
      </c>
      <c r="D792" t="s">
        <v>110</v>
      </c>
      <c r="E792" t="s">
        <v>32</v>
      </c>
      <c r="F792" t="s">
        <v>33</v>
      </c>
      <c r="G792">
        <v>132</v>
      </c>
      <c r="H792">
        <v>75000</v>
      </c>
      <c r="I792">
        <v>9900000</v>
      </c>
    </row>
    <row r="793" spans="1:9" x14ac:dyDescent="0.3">
      <c r="A793" s="1">
        <v>45919</v>
      </c>
      <c r="B793" t="s">
        <v>1006</v>
      </c>
      <c r="C793" t="s">
        <v>10</v>
      </c>
      <c r="D793" t="s">
        <v>141</v>
      </c>
      <c r="E793" t="s">
        <v>21</v>
      </c>
      <c r="F793" t="s">
        <v>18</v>
      </c>
      <c r="G793">
        <v>132</v>
      </c>
      <c r="H793">
        <v>75000</v>
      </c>
      <c r="I793">
        <v>9900000</v>
      </c>
    </row>
    <row r="794" spans="1:9" x14ac:dyDescent="0.3">
      <c r="A794" s="1">
        <v>45981</v>
      </c>
      <c r="B794" t="s">
        <v>1071</v>
      </c>
      <c r="C794" t="s">
        <v>53</v>
      </c>
      <c r="D794" t="s">
        <v>71</v>
      </c>
      <c r="E794" t="s">
        <v>21</v>
      </c>
      <c r="F794" t="s">
        <v>13</v>
      </c>
      <c r="G794">
        <v>132</v>
      </c>
      <c r="H794">
        <v>65000</v>
      </c>
      <c r="I794">
        <v>8580000</v>
      </c>
    </row>
    <row r="795" spans="1:9" x14ac:dyDescent="0.3">
      <c r="A795" s="1">
        <v>45817</v>
      </c>
      <c r="B795" t="s">
        <v>158</v>
      </c>
      <c r="C795" t="s">
        <v>10</v>
      </c>
      <c r="D795" t="s">
        <v>25</v>
      </c>
      <c r="E795" t="s">
        <v>26</v>
      </c>
      <c r="F795" t="s">
        <v>22</v>
      </c>
      <c r="G795">
        <v>133</v>
      </c>
      <c r="H795">
        <v>75000</v>
      </c>
      <c r="I795">
        <v>9975000</v>
      </c>
    </row>
    <row r="796" spans="1:9" x14ac:dyDescent="0.3">
      <c r="A796" s="1">
        <v>45728</v>
      </c>
      <c r="B796" t="s">
        <v>425</v>
      </c>
      <c r="C796" t="s">
        <v>15</v>
      </c>
      <c r="D796" t="s">
        <v>184</v>
      </c>
      <c r="E796" t="s">
        <v>57</v>
      </c>
      <c r="F796" t="s">
        <v>33</v>
      </c>
      <c r="G796">
        <v>133</v>
      </c>
      <c r="H796">
        <v>120000</v>
      </c>
      <c r="I796">
        <v>15960000</v>
      </c>
    </row>
    <row r="797" spans="1:9" x14ac:dyDescent="0.3">
      <c r="A797" s="1">
        <v>45871</v>
      </c>
      <c r="B797" t="s">
        <v>432</v>
      </c>
      <c r="C797" t="s">
        <v>10</v>
      </c>
      <c r="D797" t="s">
        <v>89</v>
      </c>
      <c r="E797" t="s">
        <v>12</v>
      </c>
      <c r="F797" t="s">
        <v>29</v>
      </c>
      <c r="G797">
        <v>133</v>
      </c>
      <c r="H797">
        <v>75000</v>
      </c>
      <c r="I797">
        <v>9975000</v>
      </c>
    </row>
    <row r="798" spans="1:9" x14ac:dyDescent="0.3">
      <c r="A798" s="1">
        <v>45872</v>
      </c>
      <c r="B798" t="s">
        <v>493</v>
      </c>
      <c r="C798" t="s">
        <v>15</v>
      </c>
      <c r="D798" t="s">
        <v>56</v>
      </c>
      <c r="E798" t="s">
        <v>57</v>
      </c>
      <c r="F798" t="s">
        <v>13</v>
      </c>
      <c r="G798">
        <v>133</v>
      </c>
      <c r="H798">
        <v>120000</v>
      </c>
      <c r="I798">
        <v>15960000</v>
      </c>
    </row>
    <row r="799" spans="1:9" x14ac:dyDescent="0.3">
      <c r="A799" s="1">
        <v>45848</v>
      </c>
      <c r="B799" t="s">
        <v>523</v>
      </c>
      <c r="C799" t="s">
        <v>53</v>
      </c>
      <c r="D799" t="s">
        <v>141</v>
      </c>
      <c r="E799" t="s">
        <v>21</v>
      </c>
      <c r="F799" t="s">
        <v>29</v>
      </c>
      <c r="G799">
        <v>133</v>
      </c>
      <c r="H799">
        <v>65000</v>
      </c>
      <c r="I799">
        <v>8645000</v>
      </c>
    </row>
    <row r="800" spans="1:9" x14ac:dyDescent="0.3">
      <c r="A800" s="1">
        <v>45761</v>
      </c>
      <c r="B800" t="s">
        <v>605</v>
      </c>
      <c r="C800" t="s">
        <v>10</v>
      </c>
      <c r="D800" t="s">
        <v>104</v>
      </c>
      <c r="E800" t="s">
        <v>26</v>
      </c>
      <c r="F800" t="s">
        <v>33</v>
      </c>
      <c r="G800">
        <v>133</v>
      </c>
      <c r="H800">
        <v>75000</v>
      </c>
      <c r="I800">
        <v>9975000</v>
      </c>
    </row>
    <row r="801" spans="1:9" x14ac:dyDescent="0.3">
      <c r="A801" s="1">
        <v>45833</v>
      </c>
      <c r="B801" t="s">
        <v>626</v>
      </c>
      <c r="C801" t="s">
        <v>15</v>
      </c>
      <c r="D801" t="s">
        <v>89</v>
      </c>
      <c r="E801" t="s">
        <v>12</v>
      </c>
      <c r="F801" t="s">
        <v>29</v>
      </c>
      <c r="G801">
        <v>133</v>
      </c>
      <c r="H801">
        <v>120000</v>
      </c>
      <c r="I801">
        <v>15960000</v>
      </c>
    </row>
    <row r="802" spans="1:9" x14ac:dyDescent="0.3">
      <c r="A802" s="1">
        <v>45772</v>
      </c>
      <c r="B802" t="s">
        <v>771</v>
      </c>
      <c r="C802" t="s">
        <v>24</v>
      </c>
      <c r="D802" t="s">
        <v>101</v>
      </c>
      <c r="E802" t="s">
        <v>36</v>
      </c>
      <c r="F802" t="s">
        <v>13</v>
      </c>
      <c r="G802">
        <v>133</v>
      </c>
      <c r="H802">
        <v>55000</v>
      </c>
      <c r="I802">
        <v>7315000</v>
      </c>
    </row>
    <row r="803" spans="1:9" x14ac:dyDescent="0.3">
      <c r="A803" s="1">
        <v>45797</v>
      </c>
      <c r="B803" t="s">
        <v>1267</v>
      </c>
      <c r="C803" t="s">
        <v>15</v>
      </c>
      <c r="D803" t="s">
        <v>101</v>
      </c>
      <c r="E803" t="s">
        <v>36</v>
      </c>
      <c r="F803" t="s">
        <v>13</v>
      </c>
      <c r="G803">
        <v>133</v>
      </c>
      <c r="H803">
        <v>120000</v>
      </c>
      <c r="I803">
        <v>15960000</v>
      </c>
    </row>
    <row r="804" spans="1:9" x14ac:dyDescent="0.3">
      <c r="A804" s="1">
        <v>45981</v>
      </c>
      <c r="B804" t="s">
        <v>114</v>
      </c>
      <c r="C804" t="s">
        <v>10</v>
      </c>
      <c r="D804" t="s">
        <v>49</v>
      </c>
      <c r="E804" t="s">
        <v>26</v>
      </c>
      <c r="F804" t="s">
        <v>13</v>
      </c>
      <c r="G804">
        <v>134</v>
      </c>
      <c r="H804">
        <v>75000</v>
      </c>
      <c r="I804">
        <v>10050000</v>
      </c>
    </row>
    <row r="805" spans="1:9" x14ac:dyDescent="0.3">
      <c r="A805" s="1">
        <v>45919</v>
      </c>
      <c r="B805" t="s">
        <v>200</v>
      </c>
      <c r="C805" t="s">
        <v>10</v>
      </c>
      <c r="D805" t="s">
        <v>201</v>
      </c>
      <c r="E805" t="s">
        <v>21</v>
      </c>
      <c r="F805" t="s">
        <v>18</v>
      </c>
      <c r="G805">
        <v>134</v>
      </c>
      <c r="H805">
        <v>75000</v>
      </c>
      <c r="I805">
        <v>10050000</v>
      </c>
    </row>
    <row r="806" spans="1:9" x14ac:dyDescent="0.3">
      <c r="A806" s="1">
        <v>45978</v>
      </c>
      <c r="B806" t="s">
        <v>604</v>
      </c>
      <c r="C806" t="s">
        <v>53</v>
      </c>
      <c r="D806" t="s">
        <v>89</v>
      </c>
      <c r="E806" t="s">
        <v>12</v>
      </c>
      <c r="F806" t="s">
        <v>29</v>
      </c>
      <c r="G806">
        <v>134</v>
      </c>
      <c r="H806">
        <v>65000</v>
      </c>
      <c r="I806">
        <v>8710000</v>
      </c>
    </row>
    <row r="807" spans="1:9" x14ac:dyDescent="0.3">
      <c r="A807" s="1">
        <v>45855</v>
      </c>
      <c r="B807" t="s">
        <v>611</v>
      </c>
      <c r="C807" t="s">
        <v>15</v>
      </c>
      <c r="D807" t="s">
        <v>56</v>
      </c>
      <c r="E807" t="s">
        <v>57</v>
      </c>
      <c r="F807" t="s">
        <v>13</v>
      </c>
      <c r="G807">
        <v>134</v>
      </c>
      <c r="H807">
        <v>120000</v>
      </c>
      <c r="I807">
        <v>16080000</v>
      </c>
    </row>
    <row r="808" spans="1:9" x14ac:dyDescent="0.3">
      <c r="A808" s="1">
        <v>45858</v>
      </c>
      <c r="B808" t="s">
        <v>1240</v>
      </c>
      <c r="C808" t="s">
        <v>15</v>
      </c>
      <c r="D808" t="s">
        <v>35</v>
      </c>
      <c r="E808" t="s">
        <v>36</v>
      </c>
      <c r="F808" t="s">
        <v>13</v>
      </c>
      <c r="G808">
        <v>134</v>
      </c>
      <c r="H808">
        <v>120000</v>
      </c>
      <c r="I808">
        <v>16080000</v>
      </c>
    </row>
    <row r="809" spans="1:9" x14ac:dyDescent="0.3">
      <c r="A809" s="1">
        <v>46016</v>
      </c>
      <c r="B809" t="s">
        <v>82</v>
      </c>
      <c r="C809" t="s">
        <v>15</v>
      </c>
      <c r="D809" t="s">
        <v>83</v>
      </c>
      <c r="E809" t="s">
        <v>21</v>
      </c>
      <c r="F809" t="s">
        <v>13</v>
      </c>
      <c r="G809">
        <v>135</v>
      </c>
      <c r="H809">
        <v>120000</v>
      </c>
      <c r="I809">
        <v>16200000</v>
      </c>
    </row>
    <row r="810" spans="1:9" x14ac:dyDescent="0.3">
      <c r="A810" s="1">
        <v>45659</v>
      </c>
      <c r="B810" t="s">
        <v>96</v>
      </c>
      <c r="C810" t="s">
        <v>15</v>
      </c>
      <c r="D810" t="s">
        <v>25</v>
      </c>
      <c r="E810" t="s">
        <v>26</v>
      </c>
      <c r="F810" t="s">
        <v>22</v>
      </c>
      <c r="G810">
        <v>135</v>
      </c>
      <c r="H810">
        <v>120000</v>
      </c>
      <c r="I810">
        <v>16200000</v>
      </c>
    </row>
    <row r="811" spans="1:9" x14ac:dyDescent="0.3">
      <c r="A811" s="1">
        <v>45930</v>
      </c>
      <c r="B811" t="s">
        <v>148</v>
      </c>
      <c r="C811" t="s">
        <v>53</v>
      </c>
      <c r="D811" t="s">
        <v>110</v>
      </c>
      <c r="E811" t="s">
        <v>32</v>
      </c>
      <c r="F811" t="s">
        <v>13</v>
      </c>
      <c r="G811">
        <v>135</v>
      </c>
      <c r="H811">
        <v>65000</v>
      </c>
      <c r="I811">
        <v>8775000</v>
      </c>
    </row>
    <row r="812" spans="1:9" x14ac:dyDescent="0.3">
      <c r="A812" s="1">
        <v>45807</v>
      </c>
      <c r="B812" t="s">
        <v>350</v>
      </c>
      <c r="C812" t="s">
        <v>53</v>
      </c>
      <c r="D812" t="s">
        <v>124</v>
      </c>
      <c r="E812" t="s">
        <v>26</v>
      </c>
      <c r="F812" t="s">
        <v>22</v>
      </c>
      <c r="G812">
        <v>135</v>
      </c>
      <c r="H812">
        <v>65000</v>
      </c>
      <c r="I812">
        <v>8775000</v>
      </c>
    </row>
    <row r="813" spans="1:9" x14ac:dyDescent="0.3">
      <c r="A813" s="1">
        <v>45660</v>
      </c>
      <c r="B813" t="s">
        <v>1124</v>
      </c>
      <c r="C813" t="s">
        <v>24</v>
      </c>
      <c r="D813" t="s">
        <v>73</v>
      </c>
      <c r="E813" t="s">
        <v>36</v>
      </c>
      <c r="F813" t="s">
        <v>29</v>
      </c>
      <c r="G813">
        <v>135</v>
      </c>
      <c r="H813">
        <v>55000</v>
      </c>
      <c r="I813">
        <v>7425000</v>
      </c>
    </row>
    <row r="814" spans="1:9" x14ac:dyDescent="0.3">
      <c r="A814" s="1">
        <v>45846</v>
      </c>
      <c r="B814" t="s">
        <v>1239</v>
      </c>
      <c r="C814" t="s">
        <v>53</v>
      </c>
      <c r="D814" t="s">
        <v>141</v>
      </c>
      <c r="E814" t="s">
        <v>21</v>
      </c>
      <c r="F814" t="s">
        <v>33</v>
      </c>
      <c r="G814">
        <v>135</v>
      </c>
      <c r="H814">
        <v>65000</v>
      </c>
      <c r="I814">
        <v>8775000</v>
      </c>
    </row>
    <row r="815" spans="1:9" x14ac:dyDescent="0.3">
      <c r="A815" s="1">
        <v>45990</v>
      </c>
      <c r="B815" t="s">
        <v>389</v>
      </c>
      <c r="C815" t="s">
        <v>15</v>
      </c>
      <c r="D815" t="s">
        <v>141</v>
      </c>
      <c r="E815" t="s">
        <v>21</v>
      </c>
      <c r="F815" t="s">
        <v>18</v>
      </c>
      <c r="G815">
        <v>136</v>
      </c>
      <c r="H815">
        <v>120000</v>
      </c>
      <c r="I815">
        <v>16320000</v>
      </c>
    </row>
    <row r="816" spans="1:9" x14ac:dyDescent="0.3">
      <c r="A816" s="1">
        <v>45974</v>
      </c>
      <c r="B816" t="s">
        <v>633</v>
      </c>
      <c r="C816" t="s">
        <v>24</v>
      </c>
      <c r="D816" t="s">
        <v>201</v>
      </c>
      <c r="E816" t="s">
        <v>21</v>
      </c>
      <c r="F816" t="s">
        <v>22</v>
      </c>
      <c r="G816">
        <v>136</v>
      </c>
      <c r="H816">
        <v>55000</v>
      </c>
      <c r="I816">
        <v>7480000</v>
      </c>
    </row>
    <row r="817" spans="1:9" x14ac:dyDescent="0.3">
      <c r="A817" s="1">
        <v>45875</v>
      </c>
      <c r="B817" t="s">
        <v>1197</v>
      </c>
      <c r="C817" t="s">
        <v>15</v>
      </c>
      <c r="D817" t="s">
        <v>116</v>
      </c>
      <c r="E817" t="s">
        <v>57</v>
      </c>
      <c r="F817" t="s">
        <v>18</v>
      </c>
      <c r="G817">
        <v>136</v>
      </c>
      <c r="H817">
        <v>120000</v>
      </c>
      <c r="I817">
        <v>16320000</v>
      </c>
    </row>
    <row r="818" spans="1:9" x14ac:dyDescent="0.3">
      <c r="A818" s="1">
        <v>46007</v>
      </c>
      <c r="B818" t="s">
        <v>180</v>
      </c>
      <c r="C818" t="s">
        <v>53</v>
      </c>
      <c r="D818" t="s">
        <v>56</v>
      </c>
      <c r="E818" t="s">
        <v>57</v>
      </c>
      <c r="F818" t="s">
        <v>22</v>
      </c>
      <c r="G818">
        <v>137</v>
      </c>
      <c r="H818">
        <v>65000</v>
      </c>
      <c r="I818">
        <v>8905000</v>
      </c>
    </row>
    <row r="819" spans="1:9" x14ac:dyDescent="0.3">
      <c r="A819" s="1">
        <v>45956</v>
      </c>
      <c r="B819" t="s">
        <v>192</v>
      </c>
      <c r="C819" t="s">
        <v>24</v>
      </c>
      <c r="D819" t="s">
        <v>28</v>
      </c>
      <c r="E819" t="s">
        <v>17</v>
      </c>
      <c r="F819" t="s">
        <v>13</v>
      </c>
      <c r="G819">
        <v>137</v>
      </c>
      <c r="H819">
        <v>55000</v>
      </c>
      <c r="I819">
        <v>7535000</v>
      </c>
    </row>
    <row r="820" spans="1:9" x14ac:dyDescent="0.3">
      <c r="A820" s="1">
        <v>45702</v>
      </c>
      <c r="B820" t="s">
        <v>206</v>
      </c>
      <c r="C820" t="s">
        <v>15</v>
      </c>
      <c r="D820" t="s">
        <v>110</v>
      </c>
      <c r="E820" t="s">
        <v>32</v>
      </c>
      <c r="F820" t="s">
        <v>29</v>
      </c>
      <c r="G820">
        <v>137</v>
      </c>
      <c r="H820">
        <v>120000</v>
      </c>
      <c r="I820">
        <v>16440000</v>
      </c>
    </row>
    <row r="821" spans="1:9" x14ac:dyDescent="0.3">
      <c r="A821" s="1">
        <v>45837</v>
      </c>
      <c r="B821" t="s">
        <v>829</v>
      </c>
      <c r="C821" t="s">
        <v>53</v>
      </c>
      <c r="D821" t="s">
        <v>81</v>
      </c>
      <c r="E821" t="s">
        <v>32</v>
      </c>
      <c r="F821" t="s">
        <v>29</v>
      </c>
      <c r="G821">
        <v>137</v>
      </c>
      <c r="H821">
        <v>65000</v>
      </c>
      <c r="I821">
        <v>8905000</v>
      </c>
    </row>
    <row r="822" spans="1:9" x14ac:dyDescent="0.3">
      <c r="A822" s="1">
        <v>45776</v>
      </c>
      <c r="B822" t="s">
        <v>847</v>
      </c>
      <c r="C822" t="s">
        <v>24</v>
      </c>
      <c r="D822" t="s">
        <v>68</v>
      </c>
      <c r="E822" t="s">
        <v>21</v>
      </c>
      <c r="F822" t="s">
        <v>18</v>
      </c>
      <c r="G822">
        <v>137</v>
      </c>
      <c r="H822">
        <v>55000</v>
      </c>
      <c r="I822">
        <v>7535000</v>
      </c>
    </row>
    <row r="823" spans="1:9" x14ac:dyDescent="0.3">
      <c r="A823" s="1">
        <v>45805</v>
      </c>
      <c r="B823" t="s">
        <v>1162</v>
      </c>
      <c r="C823" t="s">
        <v>53</v>
      </c>
      <c r="D823" t="s">
        <v>305</v>
      </c>
      <c r="E823" t="s">
        <v>32</v>
      </c>
      <c r="F823" t="s">
        <v>22</v>
      </c>
      <c r="G823">
        <v>137</v>
      </c>
      <c r="H823">
        <v>65000</v>
      </c>
      <c r="I823">
        <v>8905000</v>
      </c>
    </row>
    <row r="824" spans="1:9" x14ac:dyDescent="0.3">
      <c r="A824" s="1">
        <v>46013</v>
      </c>
      <c r="B824" t="s">
        <v>189</v>
      </c>
      <c r="C824" t="s">
        <v>10</v>
      </c>
      <c r="D824" t="s">
        <v>141</v>
      </c>
      <c r="E824" t="s">
        <v>21</v>
      </c>
      <c r="F824" t="s">
        <v>13</v>
      </c>
      <c r="G824">
        <v>138</v>
      </c>
      <c r="H824">
        <v>75000</v>
      </c>
      <c r="I824">
        <v>10350000</v>
      </c>
    </row>
    <row r="825" spans="1:9" x14ac:dyDescent="0.3">
      <c r="A825" s="1">
        <v>45805</v>
      </c>
      <c r="B825" t="s">
        <v>412</v>
      </c>
      <c r="C825" t="s">
        <v>10</v>
      </c>
      <c r="D825" t="s">
        <v>31</v>
      </c>
      <c r="E825" t="s">
        <v>32</v>
      </c>
      <c r="F825" t="s">
        <v>33</v>
      </c>
      <c r="G825">
        <v>138</v>
      </c>
      <c r="H825">
        <v>75000</v>
      </c>
      <c r="I825">
        <v>10350000</v>
      </c>
    </row>
    <row r="826" spans="1:9" x14ac:dyDescent="0.3">
      <c r="A826" s="1">
        <v>45828</v>
      </c>
      <c r="B826" t="s">
        <v>701</v>
      </c>
      <c r="C826" t="s">
        <v>53</v>
      </c>
      <c r="D826" t="s">
        <v>104</v>
      </c>
      <c r="E826" t="s">
        <v>26</v>
      </c>
      <c r="F826" t="s">
        <v>13</v>
      </c>
      <c r="G826">
        <v>138</v>
      </c>
      <c r="H826">
        <v>65000</v>
      </c>
      <c r="I826">
        <v>8970000</v>
      </c>
    </row>
    <row r="827" spans="1:9" x14ac:dyDescent="0.3">
      <c r="A827" s="1">
        <v>46010</v>
      </c>
      <c r="B827" t="s">
        <v>810</v>
      </c>
      <c r="C827" t="s">
        <v>15</v>
      </c>
      <c r="D827" t="s">
        <v>305</v>
      </c>
      <c r="E827" t="s">
        <v>32</v>
      </c>
      <c r="F827" t="s">
        <v>33</v>
      </c>
      <c r="G827">
        <v>138</v>
      </c>
      <c r="H827">
        <v>120000</v>
      </c>
      <c r="I827">
        <v>16560000</v>
      </c>
    </row>
    <row r="828" spans="1:9" x14ac:dyDescent="0.3">
      <c r="A828" s="1">
        <v>45745</v>
      </c>
      <c r="B828" t="s">
        <v>940</v>
      </c>
      <c r="C828" t="s">
        <v>15</v>
      </c>
      <c r="D828" t="s">
        <v>49</v>
      </c>
      <c r="E828" t="s">
        <v>26</v>
      </c>
      <c r="F828" t="s">
        <v>13</v>
      </c>
      <c r="G828">
        <v>138</v>
      </c>
      <c r="H828">
        <v>120000</v>
      </c>
      <c r="I828">
        <v>16560000</v>
      </c>
    </row>
    <row r="829" spans="1:9" x14ac:dyDescent="0.3">
      <c r="A829" s="1">
        <v>45796</v>
      </c>
      <c r="B829" t="s">
        <v>944</v>
      </c>
      <c r="C829" t="s">
        <v>15</v>
      </c>
      <c r="D829" t="s">
        <v>63</v>
      </c>
      <c r="E829" t="s">
        <v>32</v>
      </c>
      <c r="F829" t="s">
        <v>33</v>
      </c>
      <c r="G829">
        <v>138</v>
      </c>
      <c r="H829">
        <v>120000</v>
      </c>
      <c r="I829">
        <v>16560000</v>
      </c>
    </row>
    <row r="830" spans="1:9" x14ac:dyDescent="0.3">
      <c r="A830" s="1">
        <v>45854</v>
      </c>
      <c r="B830" t="s">
        <v>966</v>
      </c>
      <c r="C830" t="s">
        <v>24</v>
      </c>
      <c r="D830" t="s">
        <v>40</v>
      </c>
      <c r="E830" t="s">
        <v>41</v>
      </c>
      <c r="F830" t="s">
        <v>18</v>
      </c>
      <c r="G830">
        <v>138</v>
      </c>
      <c r="H830">
        <v>55000</v>
      </c>
      <c r="I830">
        <v>7590000</v>
      </c>
    </row>
    <row r="831" spans="1:9" x14ac:dyDescent="0.3">
      <c r="A831" s="1">
        <v>45950</v>
      </c>
      <c r="B831" t="s">
        <v>977</v>
      </c>
      <c r="C831" t="s">
        <v>53</v>
      </c>
      <c r="D831" t="s">
        <v>201</v>
      </c>
      <c r="E831" t="s">
        <v>21</v>
      </c>
      <c r="F831" t="s">
        <v>22</v>
      </c>
      <c r="G831">
        <v>138</v>
      </c>
      <c r="H831">
        <v>65000</v>
      </c>
      <c r="I831">
        <v>8970000</v>
      </c>
    </row>
    <row r="832" spans="1:9" x14ac:dyDescent="0.3">
      <c r="A832" s="1">
        <v>45802</v>
      </c>
      <c r="B832" t="s">
        <v>1046</v>
      </c>
      <c r="C832" t="s">
        <v>10</v>
      </c>
      <c r="D832" t="s">
        <v>101</v>
      </c>
      <c r="E832" t="s">
        <v>36</v>
      </c>
      <c r="F832" t="s">
        <v>18</v>
      </c>
      <c r="G832">
        <v>138</v>
      </c>
      <c r="H832">
        <v>75000</v>
      </c>
      <c r="I832">
        <v>10350000</v>
      </c>
    </row>
    <row r="833" spans="1:9" x14ac:dyDescent="0.3">
      <c r="A833" s="1">
        <v>45836</v>
      </c>
      <c r="B833" t="s">
        <v>356</v>
      </c>
      <c r="C833" t="s">
        <v>24</v>
      </c>
      <c r="D833" t="s">
        <v>68</v>
      </c>
      <c r="E833" t="s">
        <v>21</v>
      </c>
      <c r="F833" t="s">
        <v>29</v>
      </c>
      <c r="G833">
        <v>139</v>
      </c>
      <c r="H833">
        <v>55000</v>
      </c>
      <c r="I833">
        <v>7645000</v>
      </c>
    </row>
    <row r="834" spans="1:9" x14ac:dyDescent="0.3">
      <c r="A834" s="1">
        <v>45895</v>
      </c>
      <c r="B834" t="s">
        <v>468</v>
      </c>
      <c r="C834" t="s">
        <v>53</v>
      </c>
      <c r="D834" t="s">
        <v>251</v>
      </c>
      <c r="E834" t="s">
        <v>12</v>
      </c>
      <c r="F834" t="s">
        <v>22</v>
      </c>
      <c r="G834">
        <v>139</v>
      </c>
      <c r="H834">
        <v>65000</v>
      </c>
      <c r="I834">
        <v>9035000</v>
      </c>
    </row>
    <row r="835" spans="1:9" x14ac:dyDescent="0.3">
      <c r="A835" s="1">
        <v>45928</v>
      </c>
      <c r="B835" t="s">
        <v>555</v>
      </c>
      <c r="C835" t="s">
        <v>15</v>
      </c>
      <c r="D835" t="s">
        <v>81</v>
      </c>
      <c r="E835" t="s">
        <v>32</v>
      </c>
      <c r="F835" t="s">
        <v>29</v>
      </c>
      <c r="G835">
        <v>139</v>
      </c>
      <c r="H835">
        <v>120000</v>
      </c>
      <c r="I835">
        <v>16680000</v>
      </c>
    </row>
    <row r="836" spans="1:9" x14ac:dyDescent="0.3">
      <c r="A836" s="1">
        <v>45694</v>
      </c>
      <c r="B836" t="s">
        <v>637</v>
      </c>
      <c r="C836" t="s">
        <v>10</v>
      </c>
      <c r="D836" t="s">
        <v>116</v>
      </c>
      <c r="E836" t="s">
        <v>57</v>
      </c>
      <c r="F836" t="s">
        <v>22</v>
      </c>
      <c r="G836">
        <v>139</v>
      </c>
      <c r="H836">
        <v>75000</v>
      </c>
      <c r="I836">
        <v>10425000</v>
      </c>
    </row>
    <row r="837" spans="1:9" x14ac:dyDescent="0.3">
      <c r="A837" s="1">
        <v>45882</v>
      </c>
      <c r="B837" t="s">
        <v>785</v>
      </c>
      <c r="C837" t="s">
        <v>10</v>
      </c>
      <c r="D837" t="s">
        <v>124</v>
      </c>
      <c r="E837" t="s">
        <v>26</v>
      </c>
      <c r="F837" t="s">
        <v>29</v>
      </c>
      <c r="G837">
        <v>139</v>
      </c>
      <c r="H837">
        <v>75000</v>
      </c>
      <c r="I837">
        <v>10425000</v>
      </c>
    </row>
    <row r="838" spans="1:9" x14ac:dyDescent="0.3">
      <c r="A838" s="1">
        <v>45673</v>
      </c>
      <c r="B838" t="s">
        <v>939</v>
      </c>
      <c r="C838" t="s">
        <v>15</v>
      </c>
      <c r="D838" t="s">
        <v>28</v>
      </c>
      <c r="E838" t="s">
        <v>17</v>
      </c>
      <c r="F838" t="s">
        <v>18</v>
      </c>
      <c r="G838">
        <v>139</v>
      </c>
      <c r="H838">
        <v>120000</v>
      </c>
      <c r="I838">
        <v>16680000</v>
      </c>
    </row>
    <row r="839" spans="1:9" x14ac:dyDescent="0.3">
      <c r="A839" s="1">
        <v>45670</v>
      </c>
      <c r="B839" t="s">
        <v>948</v>
      </c>
      <c r="C839" t="s">
        <v>10</v>
      </c>
      <c r="D839" t="s">
        <v>47</v>
      </c>
      <c r="E839" t="s">
        <v>41</v>
      </c>
      <c r="F839" t="s">
        <v>18</v>
      </c>
      <c r="G839">
        <v>139</v>
      </c>
      <c r="H839">
        <v>75000</v>
      </c>
      <c r="I839">
        <v>10425000</v>
      </c>
    </row>
    <row r="840" spans="1:9" x14ac:dyDescent="0.3">
      <c r="A840" s="1">
        <v>45992</v>
      </c>
      <c r="B840" t="s">
        <v>1003</v>
      </c>
      <c r="C840" t="s">
        <v>15</v>
      </c>
      <c r="D840" t="s">
        <v>71</v>
      </c>
      <c r="E840" t="s">
        <v>21</v>
      </c>
      <c r="F840" t="s">
        <v>33</v>
      </c>
      <c r="G840">
        <v>139</v>
      </c>
      <c r="H840">
        <v>120000</v>
      </c>
      <c r="I840">
        <v>16680000</v>
      </c>
    </row>
    <row r="841" spans="1:9" x14ac:dyDescent="0.3">
      <c r="A841" s="1">
        <v>45674</v>
      </c>
      <c r="B841" t="s">
        <v>1118</v>
      </c>
      <c r="C841" t="s">
        <v>10</v>
      </c>
      <c r="D841" t="s">
        <v>56</v>
      </c>
      <c r="E841" t="s">
        <v>57</v>
      </c>
      <c r="F841" t="s">
        <v>13</v>
      </c>
      <c r="G841">
        <v>139</v>
      </c>
      <c r="H841">
        <v>75000</v>
      </c>
      <c r="I841">
        <v>10425000</v>
      </c>
    </row>
    <row r="842" spans="1:9" x14ac:dyDescent="0.3">
      <c r="A842" s="1">
        <v>45852</v>
      </c>
      <c r="B842" t="s">
        <v>1154</v>
      </c>
      <c r="C842" t="s">
        <v>10</v>
      </c>
      <c r="D842" t="s">
        <v>59</v>
      </c>
      <c r="E842" t="s">
        <v>41</v>
      </c>
      <c r="F842" t="s">
        <v>22</v>
      </c>
      <c r="G842">
        <v>139</v>
      </c>
      <c r="H842">
        <v>75000</v>
      </c>
      <c r="I842">
        <v>10425000</v>
      </c>
    </row>
    <row r="843" spans="1:9" x14ac:dyDescent="0.3">
      <c r="A843" s="1">
        <v>45853</v>
      </c>
      <c r="B843" t="s">
        <v>1251</v>
      </c>
      <c r="C843" t="s">
        <v>53</v>
      </c>
      <c r="D843" t="s">
        <v>11</v>
      </c>
      <c r="E843" t="s">
        <v>12</v>
      </c>
      <c r="F843" t="s">
        <v>13</v>
      </c>
      <c r="G843">
        <v>139</v>
      </c>
      <c r="H843">
        <v>65000</v>
      </c>
      <c r="I843">
        <v>9035000</v>
      </c>
    </row>
    <row r="844" spans="1:9" x14ac:dyDescent="0.3">
      <c r="A844" s="1">
        <v>45841</v>
      </c>
      <c r="B844" t="s">
        <v>826</v>
      </c>
      <c r="C844" t="s">
        <v>53</v>
      </c>
      <c r="D844" t="s">
        <v>25</v>
      </c>
      <c r="E844" t="s">
        <v>26</v>
      </c>
      <c r="F844" t="s">
        <v>22</v>
      </c>
      <c r="G844">
        <v>140</v>
      </c>
      <c r="H844">
        <v>65000</v>
      </c>
      <c r="I844">
        <v>9100000</v>
      </c>
    </row>
    <row r="845" spans="1:9" x14ac:dyDescent="0.3">
      <c r="A845" s="1">
        <v>45786</v>
      </c>
      <c r="B845" t="s">
        <v>832</v>
      </c>
      <c r="C845" t="s">
        <v>10</v>
      </c>
      <c r="D845" t="s">
        <v>83</v>
      </c>
      <c r="E845" t="s">
        <v>21</v>
      </c>
      <c r="F845" t="s">
        <v>22</v>
      </c>
      <c r="G845">
        <v>140</v>
      </c>
      <c r="H845">
        <v>75000</v>
      </c>
      <c r="I845">
        <v>10500000</v>
      </c>
    </row>
    <row r="846" spans="1:9" x14ac:dyDescent="0.3">
      <c r="A846" s="1">
        <v>45874</v>
      </c>
      <c r="B846" t="s">
        <v>942</v>
      </c>
      <c r="C846" t="s">
        <v>24</v>
      </c>
      <c r="D846" t="s">
        <v>136</v>
      </c>
      <c r="E846" t="s">
        <v>36</v>
      </c>
      <c r="F846" t="s">
        <v>29</v>
      </c>
      <c r="G846">
        <v>140</v>
      </c>
      <c r="H846">
        <v>55000</v>
      </c>
      <c r="I846">
        <v>7700000</v>
      </c>
    </row>
    <row r="847" spans="1:9" x14ac:dyDescent="0.3">
      <c r="A847" s="1">
        <v>45865</v>
      </c>
      <c r="B847" t="s">
        <v>986</v>
      </c>
      <c r="C847" t="s">
        <v>10</v>
      </c>
      <c r="D847" t="s">
        <v>81</v>
      </c>
      <c r="E847" t="s">
        <v>32</v>
      </c>
      <c r="F847" t="s">
        <v>22</v>
      </c>
      <c r="G847">
        <v>140</v>
      </c>
      <c r="H847">
        <v>75000</v>
      </c>
      <c r="I847">
        <v>10500000</v>
      </c>
    </row>
    <row r="848" spans="1:9" x14ac:dyDescent="0.3">
      <c r="A848" s="1">
        <v>45801</v>
      </c>
      <c r="B848" t="s">
        <v>1136</v>
      </c>
      <c r="C848" t="s">
        <v>53</v>
      </c>
      <c r="D848" t="s">
        <v>191</v>
      </c>
      <c r="E848" t="s">
        <v>57</v>
      </c>
      <c r="F848" t="s">
        <v>33</v>
      </c>
      <c r="G848">
        <v>140</v>
      </c>
      <c r="H848">
        <v>65000</v>
      </c>
      <c r="I848">
        <v>9100000</v>
      </c>
    </row>
    <row r="849" spans="1:9" x14ac:dyDescent="0.3">
      <c r="A849" s="1">
        <v>45892</v>
      </c>
      <c r="B849" t="s">
        <v>1138</v>
      </c>
      <c r="C849" t="s">
        <v>53</v>
      </c>
      <c r="D849" t="s">
        <v>152</v>
      </c>
      <c r="E849" t="s">
        <v>36</v>
      </c>
      <c r="F849" t="s">
        <v>13</v>
      </c>
      <c r="G849">
        <v>140</v>
      </c>
      <c r="H849">
        <v>65000</v>
      </c>
      <c r="I849">
        <v>9100000</v>
      </c>
    </row>
    <row r="850" spans="1:9" x14ac:dyDescent="0.3">
      <c r="A850" s="1">
        <v>45955</v>
      </c>
      <c r="B850" t="s">
        <v>1215</v>
      </c>
      <c r="C850" t="s">
        <v>15</v>
      </c>
      <c r="D850" t="s">
        <v>133</v>
      </c>
      <c r="E850" t="s">
        <v>17</v>
      </c>
      <c r="F850" t="s">
        <v>29</v>
      </c>
      <c r="G850">
        <v>140</v>
      </c>
      <c r="H850">
        <v>120000</v>
      </c>
      <c r="I850">
        <v>16800000</v>
      </c>
    </row>
    <row r="851" spans="1:9" x14ac:dyDescent="0.3">
      <c r="A851" s="1">
        <v>45701</v>
      </c>
      <c r="B851" t="s">
        <v>46</v>
      </c>
      <c r="C851" t="s">
        <v>10</v>
      </c>
      <c r="D851" t="s">
        <v>47</v>
      </c>
      <c r="E851" t="s">
        <v>41</v>
      </c>
      <c r="F851" t="s">
        <v>22</v>
      </c>
      <c r="G851">
        <v>141</v>
      </c>
      <c r="H851">
        <v>75000</v>
      </c>
      <c r="I851">
        <v>10575000</v>
      </c>
    </row>
    <row r="852" spans="1:9" x14ac:dyDescent="0.3">
      <c r="A852" s="1">
        <v>45839</v>
      </c>
      <c r="B852" t="s">
        <v>233</v>
      </c>
      <c r="C852" t="s">
        <v>53</v>
      </c>
      <c r="D852" t="s">
        <v>65</v>
      </c>
      <c r="E852" t="s">
        <v>21</v>
      </c>
      <c r="F852" t="s">
        <v>29</v>
      </c>
      <c r="G852">
        <v>141</v>
      </c>
      <c r="H852">
        <v>65000</v>
      </c>
      <c r="I852">
        <v>9165000</v>
      </c>
    </row>
    <row r="853" spans="1:9" x14ac:dyDescent="0.3">
      <c r="A853" s="1">
        <v>45741</v>
      </c>
      <c r="B853" t="s">
        <v>529</v>
      </c>
      <c r="C853" t="s">
        <v>24</v>
      </c>
      <c r="D853" t="s">
        <v>59</v>
      </c>
      <c r="E853" t="s">
        <v>41</v>
      </c>
      <c r="F853" t="s">
        <v>29</v>
      </c>
      <c r="G853">
        <v>141</v>
      </c>
      <c r="H853">
        <v>55000</v>
      </c>
      <c r="I853">
        <v>7755000</v>
      </c>
    </row>
    <row r="854" spans="1:9" x14ac:dyDescent="0.3">
      <c r="A854" s="1">
        <v>45822</v>
      </c>
      <c r="B854" t="s">
        <v>881</v>
      </c>
      <c r="C854" t="s">
        <v>10</v>
      </c>
      <c r="D854" t="s">
        <v>68</v>
      </c>
      <c r="E854" t="s">
        <v>21</v>
      </c>
      <c r="F854" t="s">
        <v>18</v>
      </c>
      <c r="G854">
        <v>141</v>
      </c>
      <c r="H854">
        <v>75000</v>
      </c>
      <c r="I854">
        <v>10575000</v>
      </c>
    </row>
    <row r="855" spans="1:9" x14ac:dyDescent="0.3">
      <c r="A855" s="1">
        <v>45883</v>
      </c>
      <c r="B855" t="s">
        <v>1248</v>
      </c>
      <c r="C855" t="s">
        <v>10</v>
      </c>
      <c r="D855" t="s">
        <v>51</v>
      </c>
      <c r="E855" t="s">
        <v>36</v>
      </c>
      <c r="F855" t="s">
        <v>22</v>
      </c>
      <c r="G855">
        <v>141</v>
      </c>
      <c r="H855">
        <v>75000</v>
      </c>
      <c r="I855">
        <v>10575000</v>
      </c>
    </row>
    <row r="856" spans="1:9" x14ac:dyDescent="0.3">
      <c r="A856" s="1">
        <v>45841</v>
      </c>
      <c r="B856" t="s">
        <v>183</v>
      </c>
      <c r="C856" t="s">
        <v>24</v>
      </c>
      <c r="D856" t="s">
        <v>184</v>
      </c>
      <c r="E856" t="s">
        <v>57</v>
      </c>
      <c r="F856" t="s">
        <v>29</v>
      </c>
      <c r="G856">
        <v>142</v>
      </c>
      <c r="H856">
        <v>55000</v>
      </c>
      <c r="I856">
        <v>7810000</v>
      </c>
    </row>
    <row r="857" spans="1:9" x14ac:dyDescent="0.3">
      <c r="A857" s="1">
        <v>45941</v>
      </c>
      <c r="B857" t="s">
        <v>197</v>
      </c>
      <c r="C857" t="s">
        <v>10</v>
      </c>
      <c r="D857" t="s">
        <v>133</v>
      </c>
      <c r="E857" t="s">
        <v>17</v>
      </c>
      <c r="F857" t="s">
        <v>29</v>
      </c>
      <c r="G857">
        <v>142</v>
      </c>
      <c r="H857">
        <v>75000</v>
      </c>
      <c r="I857">
        <v>10650000</v>
      </c>
    </row>
    <row r="858" spans="1:9" x14ac:dyDescent="0.3">
      <c r="A858" s="1">
        <v>45668</v>
      </c>
      <c r="B858" t="s">
        <v>503</v>
      </c>
      <c r="C858" t="s">
        <v>24</v>
      </c>
      <c r="D858" t="s">
        <v>43</v>
      </c>
      <c r="E858" t="s">
        <v>26</v>
      </c>
      <c r="F858" t="s">
        <v>18</v>
      </c>
      <c r="G858">
        <v>142</v>
      </c>
      <c r="H858">
        <v>55000</v>
      </c>
      <c r="I858">
        <v>7810000</v>
      </c>
    </row>
    <row r="859" spans="1:9" x14ac:dyDescent="0.3">
      <c r="A859" s="1">
        <v>45981</v>
      </c>
      <c r="B859" t="s">
        <v>739</v>
      </c>
      <c r="C859" t="s">
        <v>10</v>
      </c>
      <c r="D859" t="s">
        <v>56</v>
      </c>
      <c r="E859" t="s">
        <v>57</v>
      </c>
      <c r="F859" t="s">
        <v>29</v>
      </c>
      <c r="G859">
        <v>142</v>
      </c>
      <c r="H859">
        <v>75000</v>
      </c>
      <c r="I859">
        <v>10650000</v>
      </c>
    </row>
    <row r="860" spans="1:9" x14ac:dyDescent="0.3">
      <c r="A860" s="1">
        <v>45863</v>
      </c>
      <c r="B860" t="s">
        <v>1002</v>
      </c>
      <c r="C860" t="s">
        <v>53</v>
      </c>
      <c r="D860" t="s">
        <v>71</v>
      </c>
      <c r="E860" t="s">
        <v>21</v>
      </c>
      <c r="F860" t="s">
        <v>29</v>
      </c>
      <c r="G860">
        <v>142</v>
      </c>
      <c r="H860">
        <v>65000</v>
      </c>
      <c r="I860">
        <v>9230000</v>
      </c>
    </row>
    <row r="861" spans="1:9" x14ac:dyDescent="0.3">
      <c r="A861" s="1">
        <v>46013</v>
      </c>
      <c r="B861" t="s">
        <v>651</v>
      </c>
      <c r="C861" t="s">
        <v>10</v>
      </c>
      <c r="D861" t="s">
        <v>101</v>
      </c>
      <c r="E861" t="s">
        <v>36</v>
      </c>
      <c r="F861" t="s">
        <v>22</v>
      </c>
      <c r="G861">
        <v>143</v>
      </c>
      <c r="H861">
        <v>75000</v>
      </c>
      <c r="I861">
        <v>10725000</v>
      </c>
    </row>
    <row r="862" spans="1:9" x14ac:dyDescent="0.3">
      <c r="A862" s="1">
        <v>45946</v>
      </c>
      <c r="B862" t="s">
        <v>1161</v>
      </c>
      <c r="C862" t="s">
        <v>53</v>
      </c>
      <c r="D862" t="s">
        <v>152</v>
      </c>
      <c r="E862" t="s">
        <v>36</v>
      </c>
      <c r="F862" t="s">
        <v>33</v>
      </c>
      <c r="G862">
        <v>143</v>
      </c>
      <c r="H862">
        <v>65000</v>
      </c>
      <c r="I862">
        <v>9295000</v>
      </c>
    </row>
    <row r="863" spans="1:9" x14ac:dyDescent="0.3">
      <c r="A863" s="1">
        <v>45867</v>
      </c>
      <c r="B863" t="s">
        <v>147</v>
      </c>
      <c r="C863" t="s">
        <v>15</v>
      </c>
      <c r="D863" t="s">
        <v>104</v>
      </c>
      <c r="E863" t="s">
        <v>26</v>
      </c>
      <c r="F863" t="s">
        <v>29</v>
      </c>
      <c r="G863">
        <v>144</v>
      </c>
      <c r="H863">
        <v>120000</v>
      </c>
      <c r="I863">
        <v>17280000</v>
      </c>
    </row>
    <row r="864" spans="1:9" x14ac:dyDescent="0.3">
      <c r="A864" s="1">
        <v>45816</v>
      </c>
      <c r="B864" t="s">
        <v>499</v>
      </c>
      <c r="C864" t="s">
        <v>24</v>
      </c>
      <c r="D864" t="s">
        <v>121</v>
      </c>
      <c r="E864" t="s">
        <v>32</v>
      </c>
      <c r="F864" t="s">
        <v>22</v>
      </c>
      <c r="G864">
        <v>144</v>
      </c>
      <c r="H864">
        <v>55000</v>
      </c>
      <c r="I864">
        <v>7920000</v>
      </c>
    </row>
    <row r="865" spans="1:9" x14ac:dyDescent="0.3">
      <c r="A865" s="1">
        <v>45692</v>
      </c>
      <c r="B865" t="s">
        <v>582</v>
      </c>
      <c r="C865" t="s">
        <v>10</v>
      </c>
      <c r="D865" t="s">
        <v>11</v>
      </c>
      <c r="E865" t="s">
        <v>12</v>
      </c>
      <c r="F865" t="s">
        <v>22</v>
      </c>
      <c r="G865">
        <v>144</v>
      </c>
      <c r="H865">
        <v>75000</v>
      </c>
      <c r="I865">
        <v>10800000</v>
      </c>
    </row>
    <row r="866" spans="1:9" x14ac:dyDescent="0.3">
      <c r="A866" s="1">
        <v>45955</v>
      </c>
      <c r="B866" t="s">
        <v>811</v>
      </c>
      <c r="C866" t="s">
        <v>15</v>
      </c>
      <c r="D866" t="s">
        <v>95</v>
      </c>
      <c r="E866" t="s">
        <v>26</v>
      </c>
      <c r="F866" t="s">
        <v>29</v>
      </c>
      <c r="G866">
        <v>144</v>
      </c>
      <c r="H866">
        <v>120000</v>
      </c>
      <c r="I866">
        <v>17280000</v>
      </c>
    </row>
    <row r="867" spans="1:9" x14ac:dyDescent="0.3">
      <c r="A867" s="1">
        <v>45908</v>
      </c>
      <c r="B867" t="s">
        <v>830</v>
      </c>
      <c r="C867" t="s">
        <v>53</v>
      </c>
      <c r="D867" t="s">
        <v>136</v>
      </c>
      <c r="E867" t="s">
        <v>36</v>
      </c>
      <c r="F867" t="s">
        <v>22</v>
      </c>
      <c r="G867">
        <v>144</v>
      </c>
      <c r="H867">
        <v>65000</v>
      </c>
      <c r="I867">
        <v>9360000</v>
      </c>
    </row>
    <row r="868" spans="1:9" x14ac:dyDescent="0.3">
      <c r="A868" s="1">
        <v>45807</v>
      </c>
      <c r="B868" t="s">
        <v>138</v>
      </c>
      <c r="C868" t="s">
        <v>24</v>
      </c>
      <c r="D868" t="s">
        <v>71</v>
      </c>
      <c r="E868" t="s">
        <v>21</v>
      </c>
      <c r="F868" t="s">
        <v>22</v>
      </c>
      <c r="G868">
        <v>145</v>
      </c>
      <c r="H868">
        <v>55000</v>
      </c>
      <c r="I868">
        <v>7975000</v>
      </c>
    </row>
    <row r="869" spans="1:9" x14ac:dyDescent="0.3">
      <c r="A869" s="1">
        <v>45738</v>
      </c>
      <c r="B869" t="s">
        <v>440</v>
      </c>
      <c r="C869" t="s">
        <v>10</v>
      </c>
      <c r="D869" t="s">
        <v>93</v>
      </c>
      <c r="E869" t="s">
        <v>41</v>
      </c>
      <c r="F869" t="s">
        <v>33</v>
      </c>
      <c r="G869">
        <v>145</v>
      </c>
      <c r="H869">
        <v>75000</v>
      </c>
      <c r="I869">
        <v>10875000</v>
      </c>
    </row>
    <row r="870" spans="1:9" x14ac:dyDescent="0.3">
      <c r="A870" s="1">
        <v>45897</v>
      </c>
      <c r="B870" t="s">
        <v>454</v>
      </c>
      <c r="C870" t="s">
        <v>15</v>
      </c>
      <c r="D870" t="s">
        <v>136</v>
      </c>
      <c r="E870" t="s">
        <v>36</v>
      </c>
      <c r="F870" t="s">
        <v>18</v>
      </c>
      <c r="G870">
        <v>145</v>
      </c>
      <c r="H870">
        <v>120000</v>
      </c>
      <c r="I870">
        <v>17400000</v>
      </c>
    </row>
    <row r="871" spans="1:9" x14ac:dyDescent="0.3">
      <c r="A871" s="1">
        <v>45941</v>
      </c>
      <c r="B871" t="s">
        <v>883</v>
      </c>
      <c r="C871" t="s">
        <v>53</v>
      </c>
      <c r="D871" t="s">
        <v>40</v>
      </c>
      <c r="E871" t="s">
        <v>41</v>
      </c>
      <c r="F871" t="s">
        <v>13</v>
      </c>
      <c r="G871">
        <v>145</v>
      </c>
      <c r="H871">
        <v>65000</v>
      </c>
      <c r="I871">
        <v>9425000</v>
      </c>
    </row>
    <row r="872" spans="1:9" x14ac:dyDescent="0.3">
      <c r="A872" s="1">
        <v>45755</v>
      </c>
      <c r="B872" t="s">
        <v>1021</v>
      </c>
      <c r="C872" t="s">
        <v>24</v>
      </c>
      <c r="D872" t="s">
        <v>43</v>
      </c>
      <c r="E872" t="s">
        <v>26</v>
      </c>
      <c r="F872" t="s">
        <v>33</v>
      </c>
      <c r="G872">
        <v>145</v>
      </c>
      <c r="H872">
        <v>55000</v>
      </c>
      <c r="I872">
        <v>7975000</v>
      </c>
    </row>
    <row r="873" spans="1:9" x14ac:dyDescent="0.3">
      <c r="A873" s="1">
        <v>45821</v>
      </c>
      <c r="B873" t="s">
        <v>1039</v>
      </c>
      <c r="C873" t="s">
        <v>10</v>
      </c>
      <c r="D873" t="s">
        <v>136</v>
      </c>
      <c r="E873" t="s">
        <v>36</v>
      </c>
      <c r="F873" t="s">
        <v>29</v>
      </c>
      <c r="G873">
        <v>145</v>
      </c>
      <c r="H873">
        <v>75000</v>
      </c>
      <c r="I873">
        <v>10875000</v>
      </c>
    </row>
    <row r="874" spans="1:9" x14ac:dyDescent="0.3">
      <c r="A874" s="1">
        <v>45685</v>
      </c>
      <c r="B874" t="s">
        <v>1092</v>
      </c>
      <c r="C874" t="s">
        <v>10</v>
      </c>
      <c r="D874" t="s">
        <v>49</v>
      </c>
      <c r="E874" t="s">
        <v>26</v>
      </c>
      <c r="F874" t="s">
        <v>13</v>
      </c>
      <c r="G874">
        <v>145</v>
      </c>
      <c r="H874">
        <v>75000</v>
      </c>
      <c r="I874">
        <v>10875000</v>
      </c>
    </row>
    <row r="875" spans="1:9" x14ac:dyDescent="0.3">
      <c r="A875" s="1">
        <v>45663</v>
      </c>
      <c r="B875" t="s">
        <v>72</v>
      </c>
      <c r="C875" t="s">
        <v>10</v>
      </c>
      <c r="D875" t="s">
        <v>73</v>
      </c>
      <c r="E875" t="s">
        <v>36</v>
      </c>
      <c r="F875" t="s">
        <v>13</v>
      </c>
      <c r="G875">
        <v>146</v>
      </c>
      <c r="H875">
        <v>75000</v>
      </c>
      <c r="I875">
        <v>10950000</v>
      </c>
    </row>
    <row r="876" spans="1:9" x14ac:dyDescent="0.3">
      <c r="A876" s="1">
        <v>45660</v>
      </c>
      <c r="B876" t="s">
        <v>278</v>
      </c>
      <c r="C876" t="s">
        <v>15</v>
      </c>
      <c r="D876" t="s">
        <v>68</v>
      </c>
      <c r="E876" t="s">
        <v>21</v>
      </c>
      <c r="F876" t="s">
        <v>13</v>
      </c>
      <c r="G876">
        <v>146</v>
      </c>
      <c r="H876">
        <v>120000</v>
      </c>
      <c r="I876">
        <v>17520000</v>
      </c>
    </row>
    <row r="877" spans="1:9" x14ac:dyDescent="0.3">
      <c r="A877" s="1">
        <v>45812</v>
      </c>
      <c r="B877" t="s">
        <v>623</v>
      </c>
      <c r="C877" t="s">
        <v>15</v>
      </c>
      <c r="D877" t="s">
        <v>43</v>
      </c>
      <c r="E877" t="s">
        <v>26</v>
      </c>
      <c r="F877" t="s">
        <v>18</v>
      </c>
      <c r="G877">
        <v>146</v>
      </c>
      <c r="H877">
        <v>120000</v>
      </c>
      <c r="I877">
        <v>17520000</v>
      </c>
    </row>
    <row r="878" spans="1:9" x14ac:dyDescent="0.3">
      <c r="A878" s="1">
        <v>45686</v>
      </c>
      <c r="B878" t="s">
        <v>732</v>
      </c>
      <c r="C878" t="s">
        <v>53</v>
      </c>
      <c r="D878" t="s">
        <v>136</v>
      </c>
      <c r="E878" t="s">
        <v>36</v>
      </c>
      <c r="F878" t="s">
        <v>22</v>
      </c>
      <c r="G878">
        <v>146</v>
      </c>
      <c r="H878">
        <v>65000</v>
      </c>
      <c r="I878">
        <v>9490000</v>
      </c>
    </row>
    <row r="879" spans="1:9" x14ac:dyDescent="0.3">
      <c r="A879" s="1">
        <v>45915</v>
      </c>
      <c r="B879" t="s">
        <v>770</v>
      </c>
      <c r="C879" t="s">
        <v>24</v>
      </c>
      <c r="D879" t="s">
        <v>152</v>
      </c>
      <c r="E879" t="s">
        <v>36</v>
      </c>
      <c r="F879" t="s">
        <v>18</v>
      </c>
      <c r="G879">
        <v>146</v>
      </c>
      <c r="H879">
        <v>55000</v>
      </c>
      <c r="I879">
        <v>8030000</v>
      </c>
    </row>
    <row r="880" spans="1:9" x14ac:dyDescent="0.3">
      <c r="A880" s="1">
        <v>45669</v>
      </c>
      <c r="B880" t="s">
        <v>228</v>
      </c>
      <c r="C880" t="s">
        <v>10</v>
      </c>
      <c r="D880" t="s">
        <v>59</v>
      </c>
      <c r="E880" t="s">
        <v>41</v>
      </c>
      <c r="F880" t="s">
        <v>33</v>
      </c>
      <c r="G880">
        <v>147</v>
      </c>
      <c r="H880">
        <v>75000</v>
      </c>
      <c r="I880">
        <v>11025000</v>
      </c>
    </row>
    <row r="881" spans="1:9" x14ac:dyDescent="0.3">
      <c r="A881" s="1">
        <v>45690</v>
      </c>
      <c r="B881" t="s">
        <v>285</v>
      </c>
      <c r="C881" t="s">
        <v>53</v>
      </c>
      <c r="D881" t="s">
        <v>56</v>
      </c>
      <c r="E881" t="s">
        <v>57</v>
      </c>
      <c r="F881" t="s">
        <v>22</v>
      </c>
      <c r="G881">
        <v>147</v>
      </c>
      <c r="H881">
        <v>65000</v>
      </c>
      <c r="I881">
        <v>9555000</v>
      </c>
    </row>
    <row r="882" spans="1:9" x14ac:dyDescent="0.3">
      <c r="A882" s="1">
        <v>45949</v>
      </c>
      <c r="B882" t="s">
        <v>355</v>
      </c>
      <c r="C882" t="s">
        <v>24</v>
      </c>
      <c r="D882" t="s">
        <v>129</v>
      </c>
      <c r="E882" t="s">
        <v>57</v>
      </c>
      <c r="F882" t="s">
        <v>13</v>
      </c>
      <c r="G882">
        <v>147</v>
      </c>
      <c r="H882">
        <v>55000</v>
      </c>
      <c r="I882">
        <v>8085000</v>
      </c>
    </row>
    <row r="883" spans="1:9" x14ac:dyDescent="0.3">
      <c r="A883" s="1">
        <v>45712</v>
      </c>
      <c r="B883" t="s">
        <v>488</v>
      </c>
      <c r="C883" t="s">
        <v>15</v>
      </c>
      <c r="D883" t="s">
        <v>25</v>
      </c>
      <c r="E883" t="s">
        <v>26</v>
      </c>
      <c r="F883" t="s">
        <v>18</v>
      </c>
      <c r="G883">
        <v>147</v>
      </c>
      <c r="H883">
        <v>120000</v>
      </c>
      <c r="I883">
        <v>17640000</v>
      </c>
    </row>
    <row r="884" spans="1:9" x14ac:dyDescent="0.3">
      <c r="A884" s="1">
        <v>45859</v>
      </c>
      <c r="B884" t="s">
        <v>792</v>
      </c>
      <c r="C884" t="s">
        <v>15</v>
      </c>
      <c r="D884" t="s">
        <v>51</v>
      </c>
      <c r="E884" t="s">
        <v>36</v>
      </c>
      <c r="F884" t="s">
        <v>33</v>
      </c>
      <c r="G884">
        <v>147</v>
      </c>
      <c r="H884">
        <v>120000</v>
      </c>
      <c r="I884">
        <v>17640000</v>
      </c>
    </row>
    <row r="885" spans="1:9" x14ac:dyDescent="0.3">
      <c r="A885" s="1">
        <v>45708</v>
      </c>
      <c r="B885" t="s">
        <v>891</v>
      </c>
      <c r="C885" t="s">
        <v>24</v>
      </c>
      <c r="D885" t="s">
        <v>89</v>
      </c>
      <c r="E885" t="s">
        <v>12</v>
      </c>
      <c r="F885" t="s">
        <v>29</v>
      </c>
      <c r="G885">
        <v>147</v>
      </c>
      <c r="H885">
        <v>55000</v>
      </c>
      <c r="I885">
        <v>8085000</v>
      </c>
    </row>
    <row r="886" spans="1:9" x14ac:dyDescent="0.3">
      <c r="A886" s="1">
        <v>45941</v>
      </c>
      <c r="B886" t="s">
        <v>959</v>
      </c>
      <c r="C886" t="s">
        <v>24</v>
      </c>
      <c r="D886" t="s">
        <v>136</v>
      </c>
      <c r="E886" t="s">
        <v>36</v>
      </c>
      <c r="F886" t="s">
        <v>13</v>
      </c>
      <c r="G886">
        <v>147</v>
      </c>
      <c r="H886">
        <v>55000</v>
      </c>
      <c r="I886">
        <v>8085000</v>
      </c>
    </row>
    <row r="887" spans="1:9" x14ac:dyDescent="0.3">
      <c r="A887" s="1">
        <v>45785</v>
      </c>
      <c r="B887" t="s">
        <v>996</v>
      </c>
      <c r="C887" t="s">
        <v>53</v>
      </c>
      <c r="D887" t="s">
        <v>141</v>
      </c>
      <c r="E887" t="s">
        <v>21</v>
      </c>
      <c r="F887" t="s">
        <v>29</v>
      </c>
      <c r="G887">
        <v>147</v>
      </c>
      <c r="H887">
        <v>65000</v>
      </c>
      <c r="I887">
        <v>9555000</v>
      </c>
    </row>
    <row r="888" spans="1:9" x14ac:dyDescent="0.3">
      <c r="A888" s="1">
        <v>45779</v>
      </c>
      <c r="B888" t="s">
        <v>249</v>
      </c>
      <c r="C888" t="s">
        <v>15</v>
      </c>
      <c r="D888" t="s">
        <v>38</v>
      </c>
      <c r="E888" t="s">
        <v>17</v>
      </c>
      <c r="F888" t="s">
        <v>18</v>
      </c>
      <c r="G888">
        <v>148</v>
      </c>
      <c r="H888">
        <v>120000</v>
      </c>
      <c r="I888">
        <v>17760000</v>
      </c>
    </row>
    <row r="889" spans="1:9" x14ac:dyDescent="0.3">
      <c r="A889" s="1">
        <v>45911</v>
      </c>
      <c r="B889" t="s">
        <v>397</v>
      </c>
      <c r="C889" t="s">
        <v>10</v>
      </c>
      <c r="D889" t="s">
        <v>38</v>
      </c>
      <c r="E889" t="s">
        <v>17</v>
      </c>
      <c r="F889" t="s">
        <v>18</v>
      </c>
      <c r="G889">
        <v>148</v>
      </c>
      <c r="H889">
        <v>75000</v>
      </c>
      <c r="I889">
        <v>11100000</v>
      </c>
    </row>
    <row r="890" spans="1:9" x14ac:dyDescent="0.3">
      <c r="A890" s="1">
        <v>45791</v>
      </c>
      <c r="B890" t="s">
        <v>524</v>
      </c>
      <c r="C890" t="s">
        <v>24</v>
      </c>
      <c r="D890" t="s">
        <v>124</v>
      </c>
      <c r="E890" t="s">
        <v>26</v>
      </c>
      <c r="F890" t="s">
        <v>18</v>
      </c>
      <c r="G890">
        <v>148</v>
      </c>
      <c r="H890">
        <v>55000</v>
      </c>
      <c r="I890">
        <v>8140000</v>
      </c>
    </row>
    <row r="891" spans="1:9" x14ac:dyDescent="0.3">
      <c r="A891" s="1">
        <v>45736</v>
      </c>
      <c r="B891" t="s">
        <v>982</v>
      </c>
      <c r="C891" t="s">
        <v>53</v>
      </c>
      <c r="D891" t="s">
        <v>121</v>
      </c>
      <c r="E891" t="s">
        <v>32</v>
      </c>
      <c r="F891" t="s">
        <v>22</v>
      </c>
      <c r="G891">
        <v>148</v>
      </c>
      <c r="H891">
        <v>65000</v>
      </c>
      <c r="I891">
        <v>9620000</v>
      </c>
    </row>
    <row r="892" spans="1:9" x14ac:dyDescent="0.3">
      <c r="A892" s="1">
        <v>45891</v>
      </c>
      <c r="B892" t="s">
        <v>1175</v>
      </c>
      <c r="C892" t="s">
        <v>24</v>
      </c>
      <c r="D892" t="s">
        <v>119</v>
      </c>
      <c r="E892" t="s">
        <v>36</v>
      </c>
      <c r="F892" t="s">
        <v>13</v>
      </c>
      <c r="G892">
        <v>148</v>
      </c>
      <c r="H892">
        <v>55000</v>
      </c>
      <c r="I892">
        <v>8140000</v>
      </c>
    </row>
    <row r="893" spans="1:9" x14ac:dyDescent="0.3">
      <c r="A893" s="1">
        <v>46020</v>
      </c>
      <c r="B893" t="s">
        <v>396</v>
      </c>
      <c r="C893" t="s">
        <v>24</v>
      </c>
      <c r="D893" t="s">
        <v>91</v>
      </c>
      <c r="E893" t="s">
        <v>17</v>
      </c>
      <c r="F893" t="s">
        <v>33</v>
      </c>
      <c r="G893">
        <v>149</v>
      </c>
      <c r="H893">
        <v>55000</v>
      </c>
      <c r="I893">
        <v>8195000</v>
      </c>
    </row>
    <row r="894" spans="1:9" x14ac:dyDescent="0.3">
      <c r="A894" s="1">
        <v>45660</v>
      </c>
      <c r="B894" t="s">
        <v>142</v>
      </c>
      <c r="C894" t="s">
        <v>53</v>
      </c>
      <c r="D894" t="s">
        <v>63</v>
      </c>
      <c r="E894" t="s">
        <v>32</v>
      </c>
      <c r="F894" t="s">
        <v>18</v>
      </c>
      <c r="G894">
        <v>150</v>
      </c>
      <c r="H894">
        <v>65000</v>
      </c>
      <c r="I894">
        <v>9750000</v>
      </c>
    </row>
    <row r="895" spans="1:9" x14ac:dyDescent="0.3">
      <c r="A895" s="1">
        <v>45976</v>
      </c>
      <c r="B895" t="s">
        <v>597</v>
      </c>
      <c r="C895" t="s">
        <v>15</v>
      </c>
      <c r="D895" t="s">
        <v>49</v>
      </c>
      <c r="E895" t="s">
        <v>26</v>
      </c>
      <c r="F895" t="s">
        <v>29</v>
      </c>
      <c r="G895">
        <v>150</v>
      </c>
      <c r="H895">
        <v>120000</v>
      </c>
      <c r="I895">
        <v>18000000</v>
      </c>
    </row>
    <row r="896" spans="1:9" x14ac:dyDescent="0.3">
      <c r="A896" s="1">
        <v>45909</v>
      </c>
      <c r="B896" t="s">
        <v>905</v>
      </c>
      <c r="C896" t="s">
        <v>53</v>
      </c>
      <c r="D896" t="s">
        <v>201</v>
      </c>
      <c r="E896" t="s">
        <v>21</v>
      </c>
      <c r="F896" t="s">
        <v>18</v>
      </c>
      <c r="G896">
        <v>150</v>
      </c>
      <c r="H896">
        <v>65000</v>
      </c>
      <c r="I896">
        <v>9750000</v>
      </c>
    </row>
    <row r="897" spans="1:9" x14ac:dyDescent="0.3">
      <c r="A897" s="1">
        <v>45748</v>
      </c>
      <c r="B897" t="s">
        <v>969</v>
      </c>
      <c r="C897" t="s">
        <v>24</v>
      </c>
      <c r="D897" t="s">
        <v>61</v>
      </c>
      <c r="E897" t="s">
        <v>17</v>
      </c>
      <c r="F897" t="s">
        <v>22</v>
      </c>
      <c r="G897">
        <v>150</v>
      </c>
      <c r="H897">
        <v>55000</v>
      </c>
      <c r="I897">
        <v>8250000</v>
      </c>
    </row>
    <row r="898" spans="1:9" x14ac:dyDescent="0.3">
      <c r="A898" s="1">
        <v>45750</v>
      </c>
      <c r="B898" t="s">
        <v>1022</v>
      </c>
      <c r="C898" t="s">
        <v>10</v>
      </c>
      <c r="D898" t="s">
        <v>79</v>
      </c>
      <c r="E898" t="s">
        <v>36</v>
      </c>
      <c r="F898" t="s">
        <v>33</v>
      </c>
      <c r="G898">
        <v>150</v>
      </c>
      <c r="H898">
        <v>75000</v>
      </c>
      <c r="I898">
        <v>11250000</v>
      </c>
    </row>
    <row r="899" spans="1:9" x14ac:dyDescent="0.3">
      <c r="A899" s="1">
        <v>46014</v>
      </c>
      <c r="B899" t="s">
        <v>1157</v>
      </c>
      <c r="C899" t="s">
        <v>24</v>
      </c>
      <c r="D899" t="s">
        <v>71</v>
      </c>
      <c r="E899" t="s">
        <v>21</v>
      </c>
      <c r="F899" t="s">
        <v>18</v>
      </c>
      <c r="G899">
        <v>150</v>
      </c>
      <c r="H899">
        <v>55000</v>
      </c>
      <c r="I899">
        <v>8250000</v>
      </c>
    </row>
    <row r="900" spans="1:9" x14ac:dyDescent="0.3">
      <c r="A900" s="1">
        <v>45736</v>
      </c>
      <c r="B900" t="s">
        <v>509</v>
      </c>
      <c r="C900" t="s">
        <v>53</v>
      </c>
      <c r="D900" t="s">
        <v>31</v>
      </c>
      <c r="E900" t="s">
        <v>32</v>
      </c>
      <c r="F900" t="s">
        <v>18</v>
      </c>
      <c r="G900">
        <v>151</v>
      </c>
      <c r="H900">
        <v>65000</v>
      </c>
      <c r="I900">
        <v>9815000</v>
      </c>
    </row>
    <row r="901" spans="1:9" x14ac:dyDescent="0.3">
      <c r="A901" s="1">
        <v>45847</v>
      </c>
      <c r="B901" t="s">
        <v>632</v>
      </c>
      <c r="C901" t="s">
        <v>15</v>
      </c>
      <c r="D901" t="s">
        <v>201</v>
      </c>
      <c r="E901" t="s">
        <v>21</v>
      </c>
      <c r="F901" t="s">
        <v>13</v>
      </c>
      <c r="G901">
        <v>151</v>
      </c>
      <c r="H901">
        <v>120000</v>
      </c>
      <c r="I901">
        <v>18120000</v>
      </c>
    </row>
    <row r="902" spans="1:9" x14ac:dyDescent="0.3">
      <c r="A902" s="1">
        <v>45891</v>
      </c>
      <c r="B902" t="s">
        <v>855</v>
      </c>
      <c r="C902" t="s">
        <v>10</v>
      </c>
      <c r="D902" t="s">
        <v>47</v>
      </c>
      <c r="E902" t="s">
        <v>41</v>
      </c>
      <c r="F902" t="s">
        <v>29</v>
      </c>
      <c r="G902">
        <v>151</v>
      </c>
      <c r="H902">
        <v>75000</v>
      </c>
      <c r="I902">
        <v>11325000</v>
      </c>
    </row>
    <row r="903" spans="1:9" x14ac:dyDescent="0.3">
      <c r="A903" s="1">
        <v>45688</v>
      </c>
      <c r="B903" t="s">
        <v>870</v>
      </c>
      <c r="C903" t="s">
        <v>24</v>
      </c>
      <c r="D903" t="s">
        <v>81</v>
      </c>
      <c r="E903" t="s">
        <v>32</v>
      </c>
      <c r="F903" t="s">
        <v>33</v>
      </c>
      <c r="G903">
        <v>151</v>
      </c>
      <c r="H903">
        <v>55000</v>
      </c>
      <c r="I903">
        <v>8305000</v>
      </c>
    </row>
    <row r="904" spans="1:9" x14ac:dyDescent="0.3">
      <c r="A904" s="1">
        <v>45912</v>
      </c>
      <c r="B904" t="s">
        <v>198</v>
      </c>
      <c r="C904" t="s">
        <v>24</v>
      </c>
      <c r="D904" t="s">
        <v>141</v>
      </c>
      <c r="E904" t="s">
        <v>21</v>
      </c>
      <c r="F904" t="s">
        <v>22</v>
      </c>
      <c r="G904">
        <v>152</v>
      </c>
      <c r="H904">
        <v>55000</v>
      </c>
      <c r="I904">
        <v>8360000</v>
      </c>
    </row>
    <row r="905" spans="1:9" x14ac:dyDescent="0.3">
      <c r="A905" s="1">
        <v>45844</v>
      </c>
      <c r="B905" t="s">
        <v>569</v>
      </c>
      <c r="C905" t="s">
        <v>15</v>
      </c>
      <c r="D905" t="s">
        <v>89</v>
      </c>
      <c r="E905" t="s">
        <v>12</v>
      </c>
      <c r="F905" t="s">
        <v>22</v>
      </c>
      <c r="G905">
        <v>152</v>
      </c>
      <c r="H905">
        <v>120000</v>
      </c>
      <c r="I905">
        <v>18240000</v>
      </c>
    </row>
    <row r="906" spans="1:9" x14ac:dyDescent="0.3">
      <c r="A906" s="1">
        <v>45844</v>
      </c>
      <c r="B906" t="s">
        <v>715</v>
      </c>
      <c r="C906" t="s">
        <v>53</v>
      </c>
      <c r="D906" t="s">
        <v>45</v>
      </c>
      <c r="E906" t="s">
        <v>12</v>
      </c>
      <c r="F906" t="s">
        <v>18</v>
      </c>
      <c r="G906">
        <v>152</v>
      </c>
      <c r="H906">
        <v>65000</v>
      </c>
      <c r="I906">
        <v>9880000</v>
      </c>
    </row>
    <row r="907" spans="1:9" x14ac:dyDescent="0.3">
      <c r="A907" s="1">
        <v>45665</v>
      </c>
      <c r="B907" t="s">
        <v>793</v>
      </c>
      <c r="C907" t="s">
        <v>10</v>
      </c>
      <c r="D907" t="s">
        <v>68</v>
      </c>
      <c r="E907" t="s">
        <v>21</v>
      </c>
      <c r="F907" t="s">
        <v>22</v>
      </c>
      <c r="G907">
        <v>152</v>
      </c>
      <c r="H907">
        <v>75000</v>
      </c>
      <c r="I907">
        <v>11400000</v>
      </c>
    </row>
    <row r="908" spans="1:9" x14ac:dyDescent="0.3">
      <c r="A908" s="1">
        <v>45937</v>
      </c>
      <c r="B908" t="s">
        <v>1216</v>
      </c>
      <c r="C908" t="s">
        <v>24</v>
      </c>
      <c r="D908" t="s">
        <v>45</v>
      </c>
      <c r="E908" t="s">
        <v>12</v>
      </c>
      <c r="F908" t="s">
        <v>33</v>
      </c>
      <c r="G908">
        <v>152</v>
      </c>
      <c r="H908">
        <v>55000</v>
      </c>
      <c r="I908">
        <v>8360000</v>
      </c>
    </row>
    <row r="909" spans="1:9" x14ac:dyDescent="0.3">
      <c r="A909" s="1">
        <v>45876</v>
      </c>
      <c r="B909" t="s">
        <v>1242</v>
      </c>
      <c r="C909" t="s">
        <v>24</v>
      </c>
      <c r="D909" t="s">
        <v>38</v>
      </c>
      <c r="E909" t="s">
        <v>17</v>
      </c>
      <c r="F909" t="s">
        <v>29</v>
      </c>
      <c r="G909">
        <v>152</v>
      </c>
      <c r="H909">
        <v>55000</v>
      </c>
      <c r="I909">
        <v>8360000</v>
      </c>
    </row>
    <row r="910" spans="1:9" x14ac:dyDescent="0.3">
      <c r="A910" s="1">
        <v>45992</v>
      </c>
      <c r="B910" t="s">
        <v>162</v>
      </c>
      <c r="C910" t="s">
        <v>10</v>
      </c>
      <c r="D910" t="s">
        <v>20</v>
      </c>
      <c r="E910" t="s">
        <v>21</v>
      </c>
      <c r="F910" t="s">
        <v>13</v>
      </c>
      <c r="G910">
        <v>153</v>
      </c>
      <c r="H910">
        <v>75000</v>
      </c>
      <c r="I910">
        <v>11475000</v>
      </c>
    </row>
    <row r="911" spans="1:9" x14ac:dyDescent="0.3">
      <c r="A911" s="1">
        <v>45942</v>
      </c>
      <c r="B911" t="s">
        <v>406</v>
      </c>
      <c r="C911" t="s">
        <v>15</v>
      </c>
      <c r="D911" t="s">
        <v>133</v>
      </c>
      <c r="E911" t="s">
        <v>17</v>
      </c>
      <c r="F911" t="s">
        <v>22</v>
      </c>
      <c r="G911">
        <v>153</v>
      </c>
      <c r="H911">
        <v>120000</v>
      </c>
      <c r="I911">
        <v>18360000</v>
      </c>
    </row>
    <row r="912" spans="1:9" x14ac:dyDescent="0.3">
      <c r="A912" s="1">
        <v>45968</v>
      </c>
      <c r="B912" t="s">
        <v>446</v>
      </c>
      <c r="C912" t="s">
        <v>24</v>
      </c>
      <c r="D912" t="s">
        <v>95</v>
      </c>
      <c r="E912" t="s">
        <v>26</v>
      </c>
      <c r="F912" t="s">
        <v>18</v>
      </c>
      <c r="G912">
        <v>153</v>
      </c>
      <c r="H912">
        <v>55000</v>
      </c>
      <c r="I912">
        <v>8415000</v>
      </c>
    </row>
    <row r="913" spans="1:9" x14ac:dyDescent="0.3">
      <c r="A913" s="1">
        <v>45891</v>
      </c>
      <c r="B913" t="s">
        <v>554</v>
      </c>
      <c r="C913" t="s">
        <v>53</v>
      </c>
      <c r="D913" t="s">
        <v>79</v>
      </c>
      <c r="E913" t="s">
        <v>36</v>
      </c>
      <c r="F913" t="s">
        <v>18</v>
      </c>
      <c r="G913">
        <v>153</v>
      </c>
      <c r="H913">
        <v>65000</v>
      </c>
      <c r="I913">
        <v>9945000</v>
      </c>
    </row>
    <row r="914" spans="1:9" x14ac:dyDescent="0.3">
      <c r="A914" s="1">
        <v>45680</v>
      </c>
      <c r="B914" t="s">
        <v>841</v>
      </c>
      <c r="C914" t="s">
        <v>53</v>
      </c>
      <c r="D914" t="s">
        <v>99</v>
      </c>
      <c r="E914" t="s">
        <v>32</v>
      </c>
      <c r="F914" t="s">
        <v>18</v>
      </c>
      <c r="G914">
        <v>153</v>
      </c>
      <c r="H914">
        <v>65000</v>
      </c>
      <c r="I914">
        <v>9945000</v>
      </c>
    </row>
    <row r="915" spans="1:9" x14ac:dyDescent="0.3">
      <c r="A915" s="1">
        <v>45687</v>
      </c>
      <c r="B915" t="s">
        <v>909</v>
      </c>
      <c r="C915" t="s">
        <v>53</v>
      </c>
      <c r="D915" t="s">
        <v>124</v>
      </c>
      <c r="E915" t="s">
        <v>26</v>
      </c>
      <c r="F915" t="s">
        <v>22</v>
      </c>
      <c r="G915">
        <v>153</v>
      </c>
      <c r="H915">
        <v>65000</v>
      </c>
      <c r="I915">
        <v>9945000</v>
      </c>
    </row>
    <row r="916" spans="1:9" x14ac:dyDescent="0.3">
      <c r="A916" s="1">
        <v>45676</v>
      </c>
      <c r="B916" t="s">
        <v>1008</v>
      </c>
      <c r="C916" t="s">
        <v>24</v>
      </c>
      <c r="D916" t="s">
        <v>56</v>
      </c>
      <c r="E916" t="s">
        <v>57</v>
      </c>
      <c r="F916" t="s">
        <v>33</v>
      </c>
      <c r="G916">
        <v>153</v>
      </c>
      <c r="H916">
        <v>55000</v>
      </c>
      <c r="I916">
        <v>8415000</v>
      </c>
    </row>
    <row r="917" spans="1:9" x14ac:dyDescent="0.3">
      <c r="A917" s="1">
        <v>45713</v>
      </c>
      <c r="B917" t="s">
        <v>1204</v>
      </c>
      <c r="C917" t="s">
        <v>53</v>
      </c>
      <c r="D917" t="s">
        <v>119</v>
      </c>
      <c r="E917" t="s">
        <v>36</v>
      </c>
      <c r="F917" t="s">
        <v>18</v>
      </c>
      <c r="G917">
        <v>153</v>
      </c>
      <c r="H917">
        <v>65000</v>
      </c>
      <c r="I917">
        <v>9945000</v>
      </c>
    </row>
    <row r="918" spans="1:9" x14ac:dyDescent="0.3">
      <c r="A918" s="1">
        <v>45697</v>
      </c>
      <c r="B918" t="s">
        <v>19</v>
      </c>
      <c r="C918" t="s">
        <v>15</v>
      </c>
      <c r="D918" t="s">
        <v>20</v>
      </c>
      <c r="E918" t="s">
        <v>21</v>
      </c>
      <c r="F918" t="s">
        <v>22</v>
      </c>
      <c r="G918">
        <v>154</v>
      </c>
      <c r="H918">
        <v>120000</v>
      </c>
      <c r="I918">
        <v>18480000</v>
      </c>
    </row>
    <row r="919" spans="1:9" x14ac:dyDescent="0.3">
      <c r="A919" s="1">
        <v>45905</v>
      </c>
      <c r="B919" t="s">
        <v>294</v>
      </c>
      <c r="C919" t="s">
        <v>10</v>
      </c>
      <c r="D919" t="s">
        <v>269</v>
      </c>
      <c r="E919" t="s">
        <v>32</v>
      </c>
      <c r="F919" t="s">
        <v>13</v>
      </c>
      <c r="G919">
        <v>154</v>
      </c>
      <c r="H919">
        <v>75000</v>
      </c>
      <c r="I919">
        <v>11550000</v>
      </c>
    </row>
    <row r="920" spans="1:9" x14ac:dyDescent="0.3">
      <c r="A920" s="1">
        <v>45740</v>
      </c>
      <c r="B920" t="s">
        <v>337</v>
      </c>
      <c r="C920" t="s">
        <v>15</v>
      </c>
      <c r="D920" t="s">
        <v>116</v>
      </c>
      <c r="E920" t="s">
        <v>57</v>
      </c>
      <c r="F920" t="s">
        <v>13</v>
      </c>
      <c r="G920">
        <v>154</v>
      </c>
      <c r="H920">
        <v>120000</v>
      </c>
      <c r="I920">
        <v>18480000</v>
      </c>
    </row>
    <row r="921" spans="1:9" x14ac:dyDescent="0.3">
      <c r="A921" s="1">
        <v>45663</v>
      </c>
      <c r="B921" t="s">
        <v>747</v>
      </c>
      <c r="C921" t="s">
        <v>15</v>
      </c>
      <c r="D921" t="s">
        <v>73</v>
      </c>
      <c r="E921" t="s">
        <v>36</v>
      </c>
      <c r="F921" t="s">
        <v>33</v>
      </c>
      <c r="G921">
        <v>154</v>
      </c>
      <c r="H921">
        <v>120000</v>
      </c>
      <c r="I921">
        <v>18480000</v>
      </c>
    </row>
    <row r="922" spans="1:9" x14ac:dyDescent="0.3">
      <c r="A922" s="1">
        <v>45813</v>
      </c>
      <c r="B922" t="s">
        <v>856</v>
      </c>
      <c r="C922" t="s">
        <v>53</v>
      </c>
      <c r="D922" t="s">
        <v>201</v>
      </c>
      <c r="E922" t="s">
        <v>21</v>
      </c>
      <c r="F922" t="s">
        <v>33</v>
      </c>
      <c r="G922">
        <v>154</v>
      </c>
      <c r="H922">
        <v>65000</v>
      </c>
      <c r="I922">
        <v>10010000</v>
      </c>
    </row>
    <row r="923" spans="1:9" x14ac:dyDescent="0.3">
      <c r="A923" s="1">
        <v>45736</v>
      </c>
      <c r="B923" t="s">
        <v>975</v>
      </c>
      <c r="C923" t="s">
        <v>24</v>
      </c>
      <c r="D923" t="s">
        <v>269</v>
      </c>
      <c r="E923" t="s">
        <v>32</v>
      </c>
      <c r="F923" t="s">
        <v>18</v>
      </c>
      <c r="G923">
        <v>154</v>
      </c>
      <c r="H923">
        <v>55000</v>
      </c>
      <c r="I923">
        <v>8470000</v>
      </c>
    </row>
    <row r="924" spans="1:9" x14ac:dyDescent="0.3">
      <c r="A924" s="1">
        <v>45673</v>
      </c>
      <c r="B924" t="s">
        <v>1211</v>
      </c>
      <c r="C924" t="s">
        <v>15</v>
      </c>
      <c r="D924" t="s">
        <v>133</v>
      </c>
      <c r="E924" t="s">
        <v>17</v>
      </c>
      <c r="F924" t="s">
        <v>13</v>
      </c>
      <c r="G924">
        <v>154</v>
      </c>
      <c r="H924">
        <v>120000</v>
      </c>
      <c r="I924">
        <v>18480000</v>
      </c>
    </row>
    <row r="925" spans="1:9" x14ac:dyDescent="0.3">
      <c r="A925" s="1">
        <v>45781</v>
      </c>
      <c r="B925" t="s">
        <v>320</v>
      </c>
      <c r="C925" t="s">
        <v>24</v>
      </c>
      <c r="D925" t="s">
        <v>141</v>
      </c>
      <c r="E925" t="s">
        <v>21</v>
      </c>
      <c r="F925" t="s">
        <v>29</v>
      </c>
      <c r="G925">
        <v>155</v>
      </c>
      <c r="H925">
        <v>55000</v>
      </c>
      <c r="I925">
        <v>8525000</v>
      </c>
    </row>
    <row r="926" spans="1:9" x14ac:dyDescent="0.3">
      <c r="A926" s="1">
        <v>45824</v>
      </c>
      <c r="B926" t="s">
        <v>477</v>
      </c>
      <c r="C926" t="s">
        <v>10</v>
      </c>
      <c r="D926" t="s">
        <v>89</v>
      </c>
      <c r="E926" t="s">
        <v>12</v>
      </c>
      <c r="F926" t="s">
        <v>18</v>
      </c>
      <c r="G926">
        <v>155</v>
      </c>
      <c r="H926">
        <v>75000</v>
      </c>
      <c r="I926">
        <v>11625000</v>
      </c>
    </row>
    <row r="927" spans="1:9" x14ac:dyDescent="0.3">
      <c r="A927" s="1">
        <v>45904</v>
      </c>
      <c r="B927" t="s">
        <v>589</v>
      </c>
      <c r="C927" t="s">
        <v>15</v>
      </c>
      <c r="D927" t="s">
        <v>43</v>
      </c>
      <c r="E927" t="s">
        <v>26</v>
      </c>
      <c r="F927" t="s">
        <v>13</v>
      </c>
      <c r="G927">
        <v>155</v>
      </c>
      <c r="H927">
        <v>120000</v>
      </c>
      <c r="I927">
        <v>18600000</v>
      </c>
    </row>
    <row r="928" spans="1:9" x14ac:dyDescent="0.3">
      <c r="A928" s="1">
        <v>45669</v>
      </c>
      <c r="B928" t="s">
        <v>601</v>
      </c>
      <c r="C928" t="s">
        <v>15</v>
      </c>
      <c r="D928" t="s">
        <v>119</v>
      </c>
      <c r="E928" t="s">
        <v>36</v>
      </c>
      <c r="F928" t="s">
        <v>13</v>
      </c>
      <c r="G928">
        <v>155</v>
      </c>
      <c r="H928">
        <v>120000</v>
      </c>
      <c r="I928">
        <v>18600000</v>
      </c>
    </row>
    <row r="929" spans="1:9" x14ac:dyDescent="0.3">
      <c r="A929" s="1">
        <v>45853</v>
      </c>
      <c r="B929" t="s">
        <v>741</v>
      </c>
      <c r="C929" t="s">
        <v>15</v>
      </c>
      <c r="D929" t="s">
        <v>136</v>
      </c>
      <c r="E929" t="s">
        <v>36</v>
      </c>
      <c r="F929" t="s">
        <v>22</v>
      </c>
      <c r="G929">
        <v>155</v>
      </c>
      <c r="H929">
        <v>120000</v>
      </c>
      <c r="I929">
        <v>18600000</v>
      </c>
    </row>
    <row r="930" spans="1:9" x14ac:dyDescent="0.3">
      <c r="A930" s="1">
        <v>45999</v>
      </c>
      <c r="B930" t="s">
        <v>1148</v>
      </c>
      <c r="C930" t="s">
        <v>24</v>
      </c>
      <c r="D930" t="s">
        <v>43</v>
      </c>
      <c r="E930" t="s">
        <v>26</v>
      </c>
      <c r="F930" t="s">
        <v>29</v>
      </c>
      <c r="G930">
        <v>155</v>
      </c>
      <c r="H930">
        <v>55000</v>
      </c>
      <c r="I930">
        <v>8525000</v>
      </c>
    </row>
    <row r="931" spans="1:9" x14ac:dyDescent="0.3">
      <c r="A931" s="1">
        <v>45890</v>
      </c>
      <c r="B931" t="s">
        <v>134</v>
      </c>
      <c r="C931" t="s">
        <v>53</v>
      </c>
      <c r="D931" t="s">
        <v>133</v>
      </c>
      <c r="E931" t="s">
        <v>17</v>
      </c>
      <c r="F931" t="s">
        <v>29</v>
      </c>
      <c r="G931">
        <v>156</v>
      </c>
      <c r="H931">
        <v>65000</v>
      </c>
      <c r="I931">
        <v>10140000</v>
      </c>
    </row>
    <row r="932" spans="1:9" x14ac:dyDescent="0.3">
      <c r="A932" s="1">
        <v>45841</v>
      </c>
      <c r="B932" t="s">
        <v>172</v>
      </c>
      <c r="C932" t="s">
        <v>24</v>
      </c>
      <c r="D932" t="s">
        <v>101</v>
      </c>
      <c r="E932" t="s">
        <v>36</v>
      </c>
      <c r="F932" t="s">
        <v>13</v>
      </c>
      <c r="G932">
        <v>156</v>
      </c>
      <c r="H932">
        <v>55000</v>
      </c>
      <c r="I932">
        <v>8580000</v>
      </c>
    </row>
    <row r="933" spans="1:9" x14ac:dyDescent="0.3">
      <c r="A933" s="1">
        <v>45988</v>
      </c>
      <c r="B933" t="s">
        <v>336</v>
      </c>
      <c r="C933" t="s">
        <v>10</v>
      </c>
      <c r="D933" t="s">
        <v>20</v>
      </c>
      <c r="E933" t="s">
        <v>21</v>
      </c>
      <c r="F933" t="s">
        <v>33</v>
      </c>
      <c r="G933">
        <v>156</v>
      </c>
      <c r="H933">
        <v>75000</v>
      </c>
      <c r="I933">
        <v>11700000</v>
      </c>
    </row>
    <row r="934" spans="1:9" x14ac:dyDescent="0.3">
      <c r="A934" s="1">
        <v>45917</v>
      </c>
      <c r="B934" t="s">
        <v>415</v>
      </c>
      <c r="C934" t="s">
        <v>10</v>
      </c>
      <c r="D934" t="s">
        <v>83</v>
      </c>
      <c r="E934" t="s">
        <v>21</v>
      </c>
      <c r="F934" t="s">
        <v>22</v>
      </c>
      <c r="G934">
        <v>156</v>
      </c>
      <c r="H934">
        <v>75000</v>
      </c>
      <c r="I934">
        <v>11700000</v>
      </c>
    </row>
    <row r="935" spans="1:9" x14ac:dyDescent="0.3">
      <c r="A935" s="1">
        <v>45855</v>
      </c>
      <c r="B935" t="s">
        <v>431</v>
      </c>
      <c r="C935" t="s">
        <v>53</v>
      </c>
      <c r="D935" t="s">
        <v>11</v>
      </c>
      <c r="E935" t="s">
        <v>12</v>
      </c>
      <c r="F935" t="s">
        <v>13</v>
      </c>
      <c r="G935">
        <v>156</v>
      </c>
      <c r="H935">
        <v>65000</v>
      </c>
      <c r="I935">
        <v>10140000</v>
      </c>
    </row>
    <row r="936" spans="1:9" x14ac:dyDescent="0.3">
      <c r="A936" s="1">
        <v>45704</v>
      </c>
      <c r="B936" t="s">
        <v>591</v>
      </c>
      <c r="C936" t="s">
        <v>15</v>
      </c>
      <c r="D936" t="s">
        <v>65</v>
      </c>
      <c r="E936" t="s">
        <v>21</v>
      </c>
      <c r="F936" t="s">
        <v>18</v>
      </c>
      <c r="G936">
        <v>156</v>
      </c>
      <c r="H936">
        <v>120000</v>
      </c>
      <c r="I936">
        <v>18720000</v>
      </c>
    </row>
    <row r="937" spans="1:9" x14ac:dyDescent="0.3">
      <c r="A937" s="1">
        <v>45755</v>
      </c>
      <c r="B937" t="s">
        <v>784</v>
      </c>
      <c r="C937" t="s">
        <v>24</v>
      </c>
      <c r="D937" t="s">
        <v>184</v>
      </c>
      <c r="E937" t="s">
        <v>57</v>
      </c>
      <c r="F937" t="s">
        <v>22</v>
      </c>
      <c r="G937">
        <v>156</v>
      </c>
      <c r="H937">
        <v>55000</v>
      </c>
      <c r="I937">
        <v>8580000</v>
      </c>
    </row>
    <row r="938" spans="1:9" x14ac:dyDescent="0.3">
      <c r="A938" s="1">
        <v>45783</v>
      </c>
      <c r="B938" t="s">
        <v>987</v>
      </c>
      <c r="C938" t="s">
        <v>24</v>
      </c>
      <c r="D938" t="s">
        <v>101</v>
      </c>
      <c r="E938" t="s">
        <v>36</v>
      </c>
      <c r="F938" t="s">
        <v>22</v>
      </c>
      <c r="G938">
        <v>156</v>
      </c>
      <c r="H938">
        <v>55000</v>
      </c>
      <c r="I938">
        <v>8580000</v>
      </c>
    </row>
    <row r="939" spans="1:9" x14ac:dyDescent="0.3">
      <c r="A939" s="1">
        <v>45702</v>
      </c>
      <c r="B939" t="s">
        <v>1143</v>
      </c>
      <c r="C939" t="s">
        <v>15</v>
      </c>
      <c r="D939" t="s">
        <v>93</v>
      </c>
      <c r="E939" t="s">
        <v>41</v>
      </c>
      <c r="F939" t="s">
        <v>18</v>
      </c>
      <c r="G939">
        <v>156</v>
      </c>
      <c r="H939">
        <v>120000</v>
      </c>
      <c r="I939">
        <v>18720000</v>
      </c>
    </row>
    <row r="940" spans="1:9" x14ac:dyDescent="0.3">
      <c r="A940" s="1">
        <v>45823</v>
      </c>
      <c r="B940" t="s">
        <v>182</v>
      </c>
      <c r="C940" t="s">
        <v>24</v>
      </c>
      <c r="D940" t="s">
        <v>95</v>
      </c>
      <c r="E940" t="s">
        <v>26</v>
      </c>
      <c r="F940" t="s">
        <v>18</v>
      </c>
      <c r="G940">
        <v>157</v>
      </c>
      <c r="H940">
        <v>55000</v>
      </c>
      <c r="I940">
        <v>8635000</v>
      </c>
    </row>
    <row r="941" spans="1:9" x14ac:dyDescent="0.3">
      <c r="A941" s="1">
        <v>45919</v>
      </c>
      <c r="B941" t="s">
        <v>303</v>
      </c>
      <c r="C941" t="s">
        <v>15</v>
      </c>
      <c r="D941" t="s">
        <v>11</v>
      </c>
      <c r="E941" t="s">
        <v>12</v>
      </c>
      <c r="F941" t="s">
        <v>18</v>
      </c>
      <c r="G941">
        <v>157</v>
      </c>
      <c r="H941">
        <v>120000</v>
      </c>
      <c r="I941">
        <v>18840000</v>
      </c>
    </row>
    <row r="942" spans="1:9" x14ac:dyDescent="0.3">
      <c r="A942" s="1">
        <v>45770</v>
      </c>
      <c r="B942" t="s">
        <v>556</v>
      </c>
      <c r="C942" t="s">
        <v>24</v>
      </c>
      <c r="D942" t="s">
        <v>54</v>
      </c>
      <c r="E942" t="s">
        <v>21</v>
      </c>
      <c r="F942" t="s">
        <v>13</v>
      </c>
      <c r="G942">
        <v>157</v>
      </c>
      <c r="H942">
        <v>55000</v>
      </c>
      <c r="I942">
        <v>8635000</v>
      </c>
    </row>
    <row r="943" spans="1:9" x14ac:dyDescent="0.3">
      <c r="A943" s="1">
        <v>45876</v>
      </c>
      <c r="B943" t="s">
        <v>670</v>
      </c>
      <c r="C943" t="s">
        <v>10</v>
      </c>
      <c r="D943" t="s">
        <v>79</v>
      </c>
      <c r="E943" t="s">
        <v>36</v>
      </c>
      <c r="F943" t="s">
        <v>18</v>
      </c>
      <c r="G943">
        <v>157</v>
      </c>
      <c r="H943">
        <v>75000</v>
      </c>
      <c r="I943">
        <v>11775000</v>
      </c>
    </row>
    <row r="944" spans="1:9" x14ac:dyDescent="0.3">
      <c r="A944" s="1">
        <v>45665</v>
      </c>
      <c r="B944" t="s">
        <v>821</v>
      </c>
      <c r="C944" t="s">
        <v>15</v>
      </c>
      <c r="D944" t="s">
        <v>49</v>
      </c>
      <c r="E944" t="s">
        <v>26</v>
      </c>
      <c r="F944" t="s">
        <v>33</v>
      </c>
      <c r="G944">
        <v>157</v>
      </c>
      <c r="H944">
        <v>120000</v>
      </c>
      <c r="I944">
        <v>18840000</v>
      </c>
    </row>
    <row r="945" spans="1:9" x14ac:dyDescent="0.3">
      <c r="A945" s="1">
        <v>45813</v>
      </c>
      <c r="B945" t="s">
        <v>1028</v>
      </c>
      <c r="C945" t="s">
        <v>53</v>
      </c>
      <c r="D945" t="s">
        <v>191</v>
      </c>
      <c r="E945" t="s">
        <v>57</v>
      </c>
      <c r="F945" t="s">
        <v>18</v>
      </c>
      <c r="G945">
        <v>157</v>
      </c>
      <c r="H945">
        <v>65000</v>
      </c>
      <c r="I945">
        <v>10205000</v>
      </c>
    </row>
    <row r="946" spans="1:9" x14ac:dyDescent="0.3">
      <c r="A946" s="1">
        <v>45967</v>
      </c>
      <c r="B946" t="s">
        <v>254</v>
      </c>
      <c r="C946" t="s">
        <v>24</v>
      </c>
      <c r="D946" t="s">
        <v>35</v>
      </c>
      <c r="E946" t="s">
        <v>36</v>
      </c>
      <c r="F946" t="s">
        <v>29</v>
      </c>
      <c r="G946">
        <v>158</v>
      </c>
      <c r="H946">
        <v>55000</v>
      </c>
      <c r="I946">
        <v>8690000</v>
      </c>
    </row>
    <row r="947" spans="1:9" x14ac:dyDescent="0.3">
      <c r="A947" s="1">
        <v>45744</v>
      </c>
      <c r="B947" t="s">
        <v>373</v>
      </c>
      <c r="C947" t="s">
        <v>53</v>
      </c>
      <c r="D947" t="s">
        <v>65</v>
      </c>
      <c r="E947" t="s">
        <v>21</v>
      </c>
      <c r="F947" t="s">
        <v>13</v>
      </c>
      <c r="G947">
        <v>158</v>
      </c>
      <c r="H947">
        <v>65000</v>
      </c>
      <c r="I947">
        <v>10270000</v>
      </c>
    </row>
    <row r="948" spans="1:9" x14ac:dyDescent="0.3">
      <c r="A948" s="1">
        <v>45787</v>
      </c>
      <c r="B948" t="s">
        <v>382</v>
      </c>
      <c r="C948" t="s">
        <v>24</v>
      </c>
      <c r="D948" t="s">
        <v>124</v>
      </c>
      <c r="E948" t="s">
        <v>26</v>
      </c>
      <c r="F948" t="s">
        <v>13</v>
      </c>
      <c r="G948">
        <v>158</v>
      </c>
      <c r="H948">
        <v>55000</v>
      </c>
      <c r="I948">
        <v>8690000</v>
      </c>
    </row>
    <row r="949" spans="1:9" x14ac:dyDescent="0.3">
      <c r="A949" s="1">
        <v>45975</v>
      </c>
      <c r="B949" t="s">
        <v>407</v>
      </c>
      <c r="C949" t="s">
        <v>10</v>
      </c>
      <c r="D949" t="s">
        <v>51</v>
      </c>
      <c r="E949" t="s">
        <v>36</v>
      </c>
      <c r="F949" t="s">
        <v>33</v>
      </c>
      <c r="G949">
        <v>158</v>
      </c>
      <c r="H949">
        <v>75000</v>
      </c>
      <c r="I949">
        <v>11850000</v>
      </c>
    </row>
    <row r="950" spans="1:9" x14ac:dyDescent="0.3">
      <c r="A950" s="1">
        <v>45742</v>
      </c>
      <c r="B950" t="s">
        <v>843</v>
      </c>
      <c r="C950" t="s">
        <v>53</v>
      </c>
      <c r="D950" t="s">
        <v>201</v>
      </c>
      <c r="E950" t="s">
        <v>21</v>
      </c>
      <c r="F950" t="s">
        <v>13</v>
      </c>
      <c r="G950">
        <v>158</v>
      </c>
      <c r="H950">
        <v>65000</v>
      </c>
      <c r="I950">
        <v>10270000</v>
      </c>
    </row>
    <row r="951" spans="1:9" x14ac:dyDescent="0.3">
      <c r="A951" s="1">
        <v>45780</v>
      </c>
      <c r="B951" t="s">
        <v>1060</v>
      </c>
      <c r="C951" t="s">
        <v>53</v>
      </c>
      <c r="D951" t="s">
        <v>63</v>
      </c>
      <c r="E951" t="s">
        <v>32</v>
      </c>
      <c r="F951" t="s">
        <v>18</v>
      </c>
      <c r="G951">
        <v>158</v>
      </c>
      <c r="H951">
        <v>65000</v>
      </c>
      <c r="I951">
        <v>10270000</v>
      </c>
    </row>
    <row r="952" spans="1:9" x14ac:dyDescent="0.3">
      <c r="A952" s="1">
        <v>45686</v>
      </c>
      <c r="B952" t="s">
        <v>1108</v>
      </c>
      <c r="C952" t="s">
        <v>15</v>
      </c>
      <c r="D952" t="s">
        <v>93</v>
      </c>
      <c r="E952" t="s">
        <v>41</v>
      </c>
      <c r="F952" t="s">
        <v>33</v>
      </c>
      <c r="G952">
        <v>158</v>
      </c>
      <c r="H952">
        <v>120000</v>
      </c>
      <c r="I952">
        <v>18960000</v>
      </c>
    </row>
    <row r="953" spans="1:9" x14ac:dyDescent="0.3">
      <c r="A953" s="1">
        <v>45704</v>
      </c>
      <c r="B953" t="s">
        <v>1158</v>
      </c>
      <c r="C953" t="s">
        <v>15</v>
      </c>
      <c r="D953" t="s">
        <v>47</v>
      </c>
      <c r="E953" t="s">
        <v>41</v>
      </c>
      <c r="F953" t="s">
        <v>18</v>
      </c>
      <c r="G953">
        <v>158</v>
      </c>
      <c r="H953">
        <v>120000</v>
      </c>
      <c r="I953">
        <v>18960000</v>
      </c>
    </row>
    <row r="954" spans="1:9" x14ac:dyDescent="0.3">
      <c r="A954" s="1">
        <v>45902</v>
      </c>
      <c r="B954" t="s">
        <v>268</v>
      </c>
      <c r="C954" t="s">
        <v>15</v>
      </c>
      <c r="D954" t="s">
        <v>269</v>
      </c>
      <c r="E954" t="s">
        <v>32</v>
      </c>
      <c r="F954" t="s">
        <v>22</v>
      </c>
      <c r="G954">
        <v>159</v>
      </c>
      <c r="H954">
        <v>120000</v>
      </c>
      <c r="I954">
        <v>19080000</v>
      </c>
    </row>
    <row r="955" spans="1:9" x14ac:dyDescent="0.3">
      <c r="A955" s="1">
        <v>45826</v>
      </c>
      <c r="B955" t="s">
        <v>531</v>
      </c>
      <c r="C955" t="s">
        <v>53</v>
      </c>
      <c r="D955" t="s">
        <v>121</v>
      </c>
      <c r="E955" t="s">
        <v>32</v>
      </c>
      <c r="F955" t="s">
        <v>18</v>
      </c>
      <c r="G955">
        <v>159</v>
      </c>
      <c r="H955">
        <v>65000</v>
      </c>
      <c r="I955">
        <v>10335000</v>
      </c>
    </row>
    <row r="956" spans="1:9" x14ac:dyDescent="0.3">
      <c r="A956" s="1">
        <v>45722</v>
      </c>
      <c r="B956" t="s">
        <v>997</v>
      </c>
      <c r="C956" t="s">
        <v>24</v>
      </c>
      <c r="D956" t="s">
        <v>31</v>
      </c>
      <c r="E956" t="s">
        <v>32</v>
      </c>
      <c r="F956" t="s">
        <v>22</v>
      </c>
      <c r="G956">
        <v>159</v>
      </c>
      <c r="H956">
        <v>55000</v>
      </c>
      <c r="I956">
        <v>8745000</v>
      </c>
    </row>
    <row r="957" spans="1:9" x14ac:dyDescent="0.3">
      <c r="A957" s="1">
        <v>45838</v>
      </c>
      <c r="B957" t="s">
        <v>1263</v>
      </c>
      <c r="C957" t="s">
        <v>24</v>
      </c>
      <c r="D957" t="s">
        <v>35</v>
      </c>
      <c r="E957" t="s">
        <v>36</v>
      </c>
      <c r="F957" t="s">
        <v>18</v>
      </c>
      <c r="G957">
        <v>159</v>
      </c>
      <c r="H957">
        <v>55000</v>
      </c>
      <c r="I957">
        <v>8745000</v>
      </c>
    </row>
    <row r="958" spans="1:9" x14ac:dyDescent="0.3">
      <c r="A958" s="1">
        <v>45953</v>
      </c>
      <c r="B958" t="s">
        <v>307</v>
      </c>
      <c r="C958" t="s">
        <v>24</v>
      </c>
      <c r="D958" t="s">
        <v>152</v>
      </c>
      <c r="E958" t="s">
        <v>36</v>
      </c>
      <c r="F958" t="s">
        <v>22</v>
      </c>
      <c r="G958">
        <v>160</v>
      </c>
      <c r="H958">
        <v>55000</v>
      </c>
      <c r="I958">
        <v>8800000</v>
      </c>
    </row>
    <row r="959" spans="1:9" x14ac:dyDescent="0.3">
      <c r="A959" s="1">
        <v>46016</v>
      </c>
      <c r="B959" t="s">
        <v>321</v>
      </c>
      <c r="C959" t="s">
        <v>53</v>
      </c>
      <c r="D959" t="s">
        <v>49</v>
      </c>
      <c r="E959" t="s">
        <v>26</v>
      </c>
      <c r="F959" t="s">
        <v>29</v>
      </c>
      <c r="G959">
        <v>160</v>
      </c>
      <c r="H959">
        <v>65000</v>
      </c>
      <c r="I959">
        <v>10400000</v>
      </c>
    </row>
    <row r="960" spans="1:9" x14ac:dyDescent="0.3">
      <c r="A960" s="1">
        <v>45790</v>
      </c>
      <c r="B960" t="s">
        <v>367</v>
      </c>
      <c r="C960" t="s">
        <v>53</v>
      </c>
      <c r="D960" t="s">
        <v>121</v>
      </c>
      <c r="E960" t="s">
        <v>32</v>
      </c>
      <c r="F960" t="s">
        <v>18</v>
      </c>
      <c r="G960">
        <v>160</v>
      </c>
      <c r="H960">
        <v>65000</v>
      </c>
      <c r="I960">
        <v>10400000</v>
      </c>
    </row>
    <row r="961" spans="1:9" x14ac:dyDescent="0.3">
      <c r="A961" s="1">
        <v>45903</v>
      </c>
      <c r="B961" t="s">
        <v>521</v>
      </c>
      <c r="C961" t="s">
        <v>53</v>
      </c>
      <c r="D961" t="s">
        <v>129</v>
      </c>
      <c r="E961" t="s">
        <v>57</v>
      </c>
      <c r="F961" t="s">
        <v>22</v>
      </c>
      <c r="G961">
        <v>160</v>
      </c>
      <c r="H961">
        <v>65000</v>
      </c>
      <c r="I961">
        <v>10400000</v>
      </c>
    </row>
    <row r="962" spans="1:9" x14ac:dyDescent="0.3">
      <c r="A962" s="1">
        <v>45767</v>
      </c>
      <c r="B962" t="s">
        <v>934</v>
      </c>
      <c r="C962" t="s">
        <v>10</v>
      </c>
      <c r="D962" t="s">
        <v>136</v>
      </c>
      <c r="E962" t="s">
        <v>36</v>
      </c>
      <c r="F962" t="s">
        <v>33</v>
      </c>
      <c r="G962">
        <v>160</v>
      </c>
      <c r="H962">
        <v>75000</v>
      </c>
      <c r="I962">
        <v>12000000</v>
      </c>
    </row>
    <row r="963" spans="1:9" x14ac:dyDescent="0.3">
      <c r="A963" s="1">
        <v>45665</v>
      </c>
      <c r="B963" t="s">
        <v>421</v>
      </c>
      <c r="C963" t="s">
        <v>24</v>
      </c>
      <c r="D963" t="s">
        <v>152</v>
      </c>
      <c r="E963" t="s">
        <v>36</v>
      </c>
      <c r="F963" t="s">
        <v>13</v>
      </c>
      <c r="G963">
        <v>161</v>
      </c>
      <c r="H963">
        <v>55000</v>
      </c>
      <c r="I963">
        <v>8855000</v>
      </c>
    </row>
    <row r="964" spans="1:9" x14ac:dyDescent="0.3">
      <c r="A964" s="1">
        <v>45974</v>
      </c>
      <c r="B964" t="s">
        <v>436</v>
      </c>
      <c r="C964" t="s">
        <v>10</v>
      </c>
      <c r="D964" t="s">
        <v>101</v>
      </c>
      <c r="E964" t="s">
        <v>36</v>
      </c>
      <c r="F964" t="s">
        <v>13</v>
      </c>
      <c r="G964">
        <v>161</v>
      </c>
      <c r="H964">
        <v>75000</v>
      </c>
      <c r="I964">
        <v>12075000</v>
      </c>
    </row>
    <row r="965" spans="1:9" x14ac:dyDescent="0.3">
      <c r="A965" s="1">
        <v>46021</v>
      </c>
      <c r="B965" t="s">
        <v>448</v>
      </c>
      <c r="C965" t="s">
        <v>53</v>
      </c>
      <c r="D965" t="s">
        <v>79</v>
      </c>
      <c r="E965" t="s">
        <v>36</v>
      </c>
      <c r="F965" t="s">
        <v>22</v>
      </c>
      <c r="G965">
        <v>161</v>
      </c>
      <c r="H965">
        <v>65000</v>
      </c>
      <c r="I965">
        <v>10465000</v>
      </c>
    </row>
    <row r="966" spans="1:9" x14ac:dyDescent="0.3">
      <c r="A966" s="1">
        <v>45940</v>
      </c>
      <c r="B966" t="s">
        <v>983</v>
      </c>
      <c r="C966" t="s">
        <v>15</v>
      </c>
      <c r="D966" t="s">
        <v>91</v>
      </c>
      <c r="E966" t="s">
        <v>17</v>
      </c>
      <c r="F966" t="s">
        <v>22</v>
      </c>
      <c r="G966">
        <v>161</v>
      </c>
      <c r="H966">
        <v>120000</v>
      </c>
      <c r="I966">
        <v>19320000</v>
      </c>
    </row>
    <row r="967" spans="1:9" x14ac:dyDescent="0.3">
      <c r="A967" s="1">
        <v>45866</v>
      </c>
      <c r="B967" t="s">
        <v>98</v>
      </c>
      <c r="C967" t="s">
        <v>24</v>
      </c>
      <c r="D967" t="s">
        <v>99</v>
      </c>
      <c r="E967" t="s">
        <v>32</v>
      </c>
      <c r="F967" t="s">
        <v>18</v>
      </c>
      <c r="G967">
        <v>162</v>
      </c>
      <c r="H967">
        <v>55000</v>
      </c>
      <c r="I967">
        <v>8910000</v>
      </c>
    </row>
    <row r="968" spans="1:9" x14ac:dyDescent="0.3">
      <c r="A968" s="1">
        <v>45771</v>
      </c>
      <c r="B968" t="s">
        <v>174</v>
      </c>
      <c r="C968" t="s">
        <v>15</v>
      </c>
      <c r="D968" t="s">
        <v>110</v>
      </c>
      <c r="E968" t="s">
        <v>32</v>
      </c>
      <c r="F968" t="s">
        <v>18</v>
      </c>
      <c r="G968">
        <v>162</v>
      </c>
      <c r="H968">
        <v>120000</v>
      </c>
      <c r="I968">
        <v>19440000</v>
      </c>
    </row>
    <row r="969" spans="1:9" x14ac:dyDescent="0.3">
      <c r="A969" s="1">
        <v>45813</v>
      </c>
      <c r="B969" t="s">
        <v>289</v>
      </c>
      <c r="C969" t="s">
        <v>10</v>
      </c>
      <c r="D969" t="s">
        <v>16</v>
      </c>
      <c r="E969" t="s">
        <v>17</v>
      </c>
      <c r="F969" t="s">
        <v>33</v>
      </c>
      <c r="G969">
        <v>162</v>
      </c>
      <c r="H969">
        <v>75000</v>
      </c>
      <c r="I969">
        <v>12150000</v>
      </c>
    </row>
    <row r="970" spans="1:9" x14ac:dyDescent="0.3">
      <c r="A970" s="1">
        <v>45800</v>
      </c>
      <c r="B970" t="s">
        <v>518</v>
      </c>
      <c r="C970" t="s">
        <v>10</v>
      </c>
      <c r="D970" t="s">
        <v>28</v>
      </c>
      <c r="E970" t="s">
        <v>17</v>
      </c>
      <c r="F970" t="s">
        <v>18</v>
      </c>
      <c r="G970">
        <v>162</v>
      </c>
      <c r="H970">
        <v>75000</v>
      </c>
      <c r="I970">
        <v>12150000</v>
      </c>
    </row>
    <row r="971" spans="1:9" x14ac:dyDescent="0.3">
      <c r="A971" s="1">
        <v>45658</v>
      </c>
      <c r="B971" t="s">
        <v>744</v>
      </c>
      <c r="C971" t="s">
        <v>24</v>
      </c>
      <c r="D971" t="s">
        <v>47</v>
      </c>
      <c r="E971" t="s">
        <v>41</v>
      </c>
      <c r="F971" t="s">
        <v>22</v>
      </c>
      <c r="G971">
        <v>162</v>
      </c>
      <c r="H971">
        <v>55000</v>
      </c>
      <c r="I971">
        <v>8910000</v>
      </c>
    </row>
    <row r="972" spans="1:9" x14ac:dyDescent="0.3">
      <c r="A972" s="1">
        <v>45835</v>
      </c>
      <c r="B972" t="s">
        <v>1184</v>
      </c>
      <c r="C972" t="s">
        <v>15</v>
      </c>
      <c r="D972" t="s">
        <v>101</v>
      </c>
      <c r="E972" t="s">
        <v>36</v>
      </c>
      <c r="F972" t="s">
        <v>33</v>
      </c>
      <c r="G972">
        <v>162</v>
      </c>
      <c r="H972">
        <v>120000</v>
      </c>
      <c r="I972">
        <v>19440000</v>
      </c>
    </row>
    <row r="973" spans="1:9" x14ac:dyDescent="0.3">
      <c r="A973" s="1">
        <v>45912</v>
      </c>
      <c r="B973" t="s">
        <v>52</v>
      </c>
      <c r="C973" t="s">
        <v>53</v>
      </c>
      <c r="D973" t="s">
        <v>54</v>
      </c>
      <c r="E973" t="s">
        <v>21</v>
      </c>
      <c r="F973" t="s">
        <v>29</v>
      </c>
      <c r="G973">
        <v>163</v>
      </c>
      <c r="H973">
        <v>65000</v>
      </c>
      <c r="I973">
        <v>10595000</v>
      </c>
    </row>
    <row r="974" spans="1:9" x14ac:dyDescent="0.3">
      <c r="A974" s="1">
        <v>45772</v>
      </c>
      <c r="B974" t="s">
        <v>67</v>
      </c>
      <c r="C974" t="s">
        <v>15</v>
      </c>
      <c r="D974" t="s">
        <v>68</v>
      </c>
      <c r="E974" t="s">
        <v>21</v>
      </c>
      <c r="F974" t="s">
        <v>22</v>
      </c>
      <c r="G974">
        <v>163</v>
      </c>
      <c r="H974">
        <v>120000</v>
      </c>
      <c r="I974">
        <v>19560000</v>
      </c>
    </row>
    <row r="975" spans="1:9" x14ac:dyDescent="0.3">
      <c r="A975" s="1">
        <v>45662</v>
      </c>
      <c r="B975" t="s">
        <v>210</v>
      </c>
      <c r="C975" t="s">
        <v>10</v>
      </c>
      <c r="D975" t="s">
        <v>28</v>
      </c>
      <c r="E975" t="s">
        <v>17</v>
      </c>
      <c r="F975" t="s">
        <v>13</v>
      </c>
      <c r="G975">
        <v>163</v>
      </c>
      <c r="H975">
        <v>75000</v>
      </c>
      <c r="I975">
        <v>12225000</v>
      </c>
    </row>
    <row r="976" spans="1:9" x14ac:dyDescent="0.3">
      <c r="A976" s="1">
        <v>45763</v>
      </c>
      <c r="B976" t="s">
        <v>402</v>
      </c>
      <c r="C976" t="s">
        <v>10</v>
      </c>
      <c r="D976" t="s">
        <v>56</v>
      </c>
      <c r="E976" t="s">
        <v>57</v>
      </c>
      <c r="F976" t="s">
        <v>22</v>
      </c>
      <c r="G976">
        <v>163</v>
      </c>
      <c r="H976">
        <v>75000</v>
      </c>
      <c r="I976">
        <v>12225000</v>
      </c>
    </row>
    <row r="977" spans="1:9" x14ac:dyDescent="0.3">
      <c r="A977" s="1">
        <v>45882</v>
      </c>
      <c r="B977" t="s">
        <v>422</v>
      </c>
      <c r="C977" t="s">
        <v>15</v>
      </c>
      <c r="D977" t="s">
        <v>20</v>
      </c>
      <c r="E977" t="s">
        <v>21</v>
      </c>
      <c r="F977" t="s">
        <v>22</v>
      </c>
      <c r="G977">
        <v>163</v>
      </c>
      <c r="H977">
        <v>120000</v>
      </c>
      <c r="I977">
        <v>19560000</v>
      </c>
    </row>
    <row r="978" spans="1:9" x14ac:dyDescent="0.3">
      <c r="A978" s="1">
        <v>45842</v>
      </c>
      <c r="B978" t="s">
        <v>561</v>
      </c>
      <c r="C978" t="s">
        <v>53</v>
      </c>
      <c r="D978" t="s">
        <v>43</v>
      </c>
      <c r="E978" t="s">
        <v>26</v>
      </c>
      <c r="F978" t="s">
        <v>29</v>
      </c>
      <c r="G978">
        <v>163</v>
      </c>
      <c r="H978">
        <v>65000</v>
      </c>
      <c r="I978">
        <v>10595000</v>
      </c>
    </row>
    <row r="979" spans="1:9" x14ac:dyDescent="0.3">
      <c r="A979" s="1">
        <v>45877</v>
      </c>
      <c r="B979" t="s">
        <v>932</v>
      </c>
      <c r="C979" t="s">
        <v>24</v>
      </c>
      <c r="D979" t="s">
        <v>28</v>
      </c>
      <c r="E979" t="s">
        <v>17</v>
      </c>
      <c r="F979" t="s">
        <v>13</v>
      </c>
      <c r="G979">
        <v>163</v>
      </c>
      <c r="H979">
        <v>55000</v>
      </c>
      <c r="I979">
        <v>8965000</v>
      </c>
    </row>
    <row r="980" spans="1:9" x14ac:dyDescent="0.3">
      <c r="A980" s="1">
        <v>45942</v>
      </c>
      <c r="B980" t="s">
        <v>933</v>
      </c>
      <c r="C980" t="s">
        <v>53</v>
      </c>
      <c r="D980" t="s">
        <v>63</v>
      </c>
      <c r="E980" t="s">
        <v>32</v>
      </c>
      <c r="F980" t="s">
        <v>22</v>
      </c>
      <c r="G980">
        <v>163</v>
      </c>
      <c r="H980">
        <v>65000</v>
      </c>
      <c r="I980">
        <v>10595000</v>
      </c>
    </row>
    <row r="981" spans="1:9" x14ac:dyDescent="0.3">
      <c r="A981" s="1">
        <v>45947</v>
      </c>
      <c r="B981" t="s">
        <v>1051</v>
      </c>
      <c r="C981" t="s">
        <v>10</v>
      </c>
      <c r="D981" t="s">
        <v>28</v>
      </c>
      <c r="E981" t="s">
        <v>17</v>
      </c>
      <c r="F981" t="s">
        <v>29</v>
      </c>
      <c r="G981">
        <v>163</v>
      </c>
      <c r="H981">
        <v>75000</v>
      </c>
      <c r="I981">
        <v>12225000</v>
      </c>
    </row>
    <row r="982" spans="1:9" x14ac:dyDescent="0.3">
      <c r="A982" s="1">
        <v>45812</v>
      </c>
      <c r="B982" t="s">
        <v>1147</v>
      </c>
      <c r="C982" t="s">
        <v>10</v>
      </c>
      <c r="D982" t="s">
        <v>191</v>
      </c>
      <c r="E982" t="s">
        <v>57</v>
      </c>
      <c r="F982" t="s">
        <v>18</v>
      </c>
      <c r="G982">
        <v>163</v>
      </c>
      <c r="H982">
        <v>75000</v>
      </c>
      <c r="I982">
        <v>12225000</v>
      </c>
    </row>
    <row r="983" spans="1:9" x14ac:dyDescent="0.3">
      <c r="A983" s="1">
        <v>45694</v>
      </c>
      <c r="B983" t="s">
        <v>1192</v>
      </c>
      <c r="C983" t="s">
        <v>24</v>
      </c>
      <c r="D983" t="s">
        <v>71</v>
      </c>
      <c r="E983" t="s">
        <v>21</v>
      </c>
      <c r="F983" t="s">
        <v>33</v>
      </c>
      <c r="G983">
        <v>163</v>
      </c>
      <c r="H983">
        <v>55000</v>
      </c>
      <c r="I983">
        <v>8965000</v>
      </c>
    </row>
    <row r="984" spans="1:9" x14ac:dyDescent="0.3">
      <c r="A984" s="1">
        <v>45829</v>
      </c>
      <c r="B984" t="s">
        <v>1232</v>
      </c>
      <c r="C984" t="s">
        <v>24</v>
      </c>
      <c r="D984" t="s">
        <v>121</v>
      </c>
      <c r="E984" t="s">
        <v>32</v>
      </c>
      <c r="F984" t="s">
        <v>22</v>
      </c>
      <c r="G984">
        <v>163</v>
      </c>
      <c r="H984">
        <v>55000</v>
      </c>
      <c r="I984">
        <v>8965000</v>
      </c>
    </row>
    <row r="985" spans="1:9" x14ac:dyDescent="0.3">
      <c r="A985" s="1">
        <v>45996</v>
      </c>
      <c r="B985" t="s">
        <v>107</v>
      </c>
      <c r="C985" t="s">
        <v>10</v>
      </c>
      <c r="D985" t="s">
        <v>56</v>
      </c>
      <c r="E985" t="s">
        <v>57</v>
      </c>
      <c r="F985" t="s">
        <v>22</v>
      </c>
      <c r="G985">
        <v>164</v>
      </c>
      <c r="H985">
        <v>75000</v>
      </c>
      <c r="I985">
        <v>12300000</v>
      </c>
    </row>
    <row r="986" spans="1:9" x14ac:dyDescent="0.3">
      <c r="A986" s="1">
        <v>45836</v>
      </c>
      <c r="B986" t="s">
        <v>566</v>
      </c>
      <c r="C986" t="s">
        <v>10</v>
      </c>
      <c r="D986" t="s">
        <v>141</v>
      </c>
      <c r="E986" t="s">
        <v>21</v>
      </c>
      <c r="F986" t="s">
        <v>13</v>
      </c>
      <c r="G986">
        <v>164</v>
      </c>
      <c r="H986">
        <v>75000</v>
      </c>
      <c r="I986">
        <v>12300000</v>
      </c>
    </row>
    <row r="987" spans="1:9" x14ac:dyDescent="0.3">
      <c r="A987" s="1">
        <v>45870</v>
      </c>
      <c r="B987" t="s">
        <v>702</v>
      </c>
      <c r="C987" t="s">
        <v>53</v>
      </c>
      <c r="D987" t="s">
        <v>45</v>
      </c>
      <c r="E987" t="s">
        <v>12</v>
      </c>
      <c r="F987" t="s">
        <v>13</v>
      </c>
      <c r="G987">
        <v>164</v>
      </c>
      <c r="H987">
        <v>65000</v>
      </c>
      <c r="I987">
        <v>10660000</v>
      </c>
    </row>
    <row r="988" spans="1:9" x14ac:dyDescent="0.3">
      <c r="A988" s="1">
        <v>45739</v>
      </c>
      <c r="B988" t="s">
        <v>873</v>
      </c>
      <c r="C988" t="s">
        <v>53</v>
      </c>
      <c r="D988" t="s">
        <v>59</v>
      </c>
      <c r="E988" t="s">
        <v>41</v>
      </c>
      <c r="F988" t="s">
        <v>33</v>
      </c>
      <c r="G988">
        <v>164</v>
      </c>
      <c r="H988">
        <v>65000</v>
      </c>
      <c r="I988">
        <v>10660000</v>
      </c>
    </row>
    <row r="989" spans="1:9" x14ac:dyDescent="0.3">
      <c r="A989" s="1">
        <v>45767</v>
      </c>
      <c r="B989" t="s">
        <v>1270</v>
      </c>
      <c r="C989" t="s">
        <v>24</v>
      </c>
      <c r="D989" t="s">
        <v>71</v>
      </c>
      <c r="E989" t="s">
        <v>21</v>
      </c>
      <c r="F989" t="s">
        <v>33</v>
      </c>
      <c r="G989">
        <v>164</v>
      </c>
      <c r="H989">
        <v>55000</v>
      </c>
      <c r="I989">
        <v>9020000</v>
      </c>
    </row>
    <row r="990" spans="1:9" x14ac:dyDescent="0.3">
      <c r="A990" s="1">
        <v>45806</v>
      </c>
      <c r="B990" t="s">
        <v>284</v>
      </c>
      <c r="C990" t="s">
        <v>53</v>
      </c>
      <c r="D990" t="s">
        <v>79</v>
      </c>
      <c r="E990" t="s">
        <v>36</v>
      </c>
      <c r="F990" t="s">
        <v>13</v>
      </c>
      <c r="G990">
        <v>165</v>
      </c>
      <c r="H990">
        <v>65000</v>
      </c>
      <c r="I990">
        <v>10725000</v>
      </c>
    </row>
    <row r="991" spans="1:9" x14ac:dyDescent="0.3">
      <c r="A991" s="1">
        <v>45840</v>
      </c>
      <c r="B991" t="s">
        <v>408</v>
      </c>
      <c r="C991" t="s">
        <v>15</v>
      </c>
      <c r="D991" t="s">
        <v>20</v>
      </c>
      <c r="E991" t="s">
        <v>21</v>
      </c>
      <c r="F991" t="s">
        <v>29</v>
      </c>
      <c r="G991">
        <v>165</v>
      </c>
      <c r="H991">
        <v>120000</v>
      </c>
      <c r="I991">
        <v>19800000</v>
      </c>
    </row>
    <row r="992" spans="1:9" x14ac:dyDescent="0.3">
      <c r="A992" s="1">
        <v>45980</v>
      </c>
      <c r="B992" t="s">
        <v>481</v>
      </c>
      <c r="C992" t="s">
        <v>10</v>
      </c>
      <c r="D992" t="s">
        <v>99</v>
      </c>
      <c r="E992" t="s">
        <v>32</v>
      </c>
      <c r="F992" t="s">
        <v>29</v>
      </c>
      <c r="G992">
        <v>165</v>
      </c>
      <c r="H992">
        <v>75000</v>
      </c>
      <c r="I992">
        <v>12375000</v>
      </c>
    </row>
    <row r="993" spans="1:9" x14ac:dyDescent="0.3">
      <c r="A993" s="1">
        <v>45968</v>
      </c>
      <c r="B993" t="s">
        <v>1145</v>
      </c>
      <c r="C993" t="s">
        <v>53</v>
      </c>
      <c r="D993" t="s">
        <v>116</v>
      </c>
      <c r="E993" t="s">
        <v>57</v>
      </c>
      <c r="F993" t="s">
        <v>13</v>
      </c>
      <c r="G993">
        <v>165</v>
      </c>
      <c r="H993">
        <v>65000</v>
      </c>
      <c r="I993">
        <v>10725000</v>
      </c>
    </row>
    <row r="994" spans="1:9" x14ac:dyDescent="0.3">
      <c r="A994" s="1">
        <v>45786</v>
      </c>
      <c r="B994" t="s">
        <v>1264</v>
      </c>
      <c r="C994" t="s">
        <v>53</v>
      </c>
      <c r="D994" t="s">
        <v>89</v>
      </c>
      <c r="E994" t="s">
        <v>12</v>
      </c>
      <c r="F994" t="s">
        <v>13</v>
      </c>
      <c r="G994">
        <v>165</v>
      </c>
      <c r="H994">
        <v>65000</v>
      </c>
      <c r="I994">
        <v>10725000</v>
      </c>
    </row>
    <row r="995" spans="1:9" x14ac:dyDescent="0.3">
      <c r="A995" s="1">
        <v>45734</v>
      </c>
      <c r="B995" t="s">
        <v>113</v>
      </c>
      <c r="C995" t="s">
        <v>53</v>
      </c>
      <c r="D995" t="s">
        <v>35</v>
      </c>
      <c r="E995" t="s">
        <v>36</v>
      </c>
      <c r="F995" t="s">
        <v>13</v>
      </c>
      <c r="G995">
        <v>166</v>
      </c>
      <c r="H995">
        <v>65000</v>
      </c>
      <c r="I995">
        <v>10790000</v>
      </c>
    </row>
    <row r="996" spans="1:9" x14ac:dyDescent="0.3">
      <c r="A996" s="1">
        <v>45811</v>
      </c>
      <c r="B996" t="s">
        <v>212</v>
      </c>
      <c r="C996" t="s">
        <v>24</v>
      </c>
      <c r="D996" t="s">
        <v>104</v>
      </c>
      <c r="E996" t="s">
        <v>26</v>
      </c>
      <c r="F996" t="s">
        <v>29</v>
      </c>
      <c r="G996">
        <v>166</v>
      </c>
      <c r="H996">
        <v>55000</v>
      </c>
      <c r="I996">
        <v>9130000</v>
      </c>
    </row>
    <row r="997" spans="1:9" x14ac:dyDescent="0.3">
      <c r="A997" s="1">
        <v>45755</v>
      </c>
      <c r="B997" t="s">
        <v>608</v>
      </c>
      <c r="C997" t="s">
        <v>15</v>
      </c>
      <c r="D997" t="s">
        <v>121</v>
      </c>
      <c r="E997" t="s">
        <v>32</v>
      </c>
      <c r="F997" t="s">
        <v>22</v>
      </c>
      <c r="G997">
        <v>166</v>
      </c>
      <c r="H997">
        <v>120000</v>
      </c>
      <c r="I997">
        <v>19920000</v>
      </c>
    </row>
    <row r="998" spans="1:9" x14ac:dyDescent="0.3">
      <c r="A998" s="1">
        <v>45708</v>
      </c>
      <c r="B998" t="s">
        <v>640</v>
      </c>
      <c r="C998" t="s">
        <v>10</v>
      </c>
      <c r="D998" t="s">
        <v>73</v>
      </c>
      <c r="E998" t="s">
        <v>36</v>
      </c>
      <c r="F998" t="s">
        <v>29</v>
      </c>
      <c r="G998">
        <v>166</v>
      </c>
      <c r="H998">
        <v>75000</v>
      </c>
      <c r="I998">
        <v>12450000</v>
      </c>
    </row>
    <row r="999" spans="1:9" x14ac:dyDescent="0.3">
      <c r="A999" s="1">
        <v>45985</v>
      </c>
      <c r="B999" t="s">
        <v>776</v>
      </c>
      <c r="C999" t="s">
        <v>10</v>
      </c>
      <c r="D999" t="s">
        <v>68</v>
      </c>
      <c r="E999" t="s">
        <v>21</v>
      </c>
      <c r="F999" t="s">
        <v>18</v>
      </c>
      <c r="G999">
        <v>166</v>
      </c>
      <c r="H999">
        <v>75000</v>
      </c>
      <c r="I999">
        <v>12450000</v>
      </c>
    </row>
    <row r="1000" spans="1:9" x14ac:dyDescent="0.3">
      <c r="A1000" s="1">
        <v>45920</v>
      </c>
      <c r="B1000" t="s">
        <v>1139</v>
      </c>
      <c r="C1000" t="s">
        <v>53</v>
      </c>
      <c r="D1000" t="s">
        <v>73</v>
      </c>
      <c r="E1000" t="s">
        <v>36</v>
      </c>
      <c r="F1000" t="s">
        <v>22</v>
      </c>
      <c r="G1000">
        <v>166</v>
      </c>
      <c r="H1000">
        <v>65000</v>
      </c>
      <c r="I1000">
        <v>10790000</v>
      </c>
    </row>
    <row r="1001" spans="1:9" x14ac:dyDescent="0.3">
      <c r="A1001" s="1">
        <v>46013</v>
      </c>
      <c r="B1001" t="s">
        <v>185</v>
      </c>
      <c r="C1001" t="s">
        <v>53</v>
      </c>
      <c r="D1001" t="s">
        <v>101</v>
      </c>
      <c r="E1001" t="s">
        <v>36</v>
      </c>
      <c r="F1001" t="s">
        <v>13</v>
      </c>
      <c r="G1001">
        <v>167</v>
      </c>
      <c r="H1001">
        <v>65000</v>
      </c>
      <c r="I1001">
        <v>10855000</v>
      </c>
    </row>
    <row r="1002" spans="1:9" x14ac:dyDescent="0.3">
      <c r="A1002" s="1">
        <v>45671</v>
      </c>
      <c r="B1002" t="s">
        <v>363</v>
      </c>
      <c r="C1002" t="s">
        <v>53</v>
      </c>
      <c r="D1002" t="s">
        <v>11</v>
      </c>
      <c r="E1002" t="s">
        <v>12</v>
      </c>
      <c r="F1002" t="s">
        <v>18</v>
      </c>
      <c r="G1002">
        <v>167</v>
      </c>
      <c r="H1002">
        <v>65000</v>
      </c>
      <c r="I1002">
        <v>10855000</v>
      </c>
    </row>
    <row r="1003" spans="1:9" x14ac:dyDescent="0.3">
      <c r="A1003" s="1">
        <v>45960</v>
      </c>
      <c r="B1003" t="s">
        <v>772</v>
      </c>
      <c r="C1003" t="s">
        <v>10</v>
      </c>
      <c r="D1003" t="s">
        <v>116</v>
      </c>
      <c r="E1003" t="s">
        <v>57</v>
      </c>
      <c r="F1003" t="s">
        <v>13</v>
      </c>
      <c r="G1003">
        <v>167</v>
      </c>
      <c r="H1003">
        <v>75000</v>
      </c>
      <c r="I1003">
        <v>12525000</v>
      </c>
    </row>
    <row r="1004" spans="1:9" x14ac:dyDescent="0.3">
      <c r="A1004" s="1">
        <v>45926</v>
      </c>
      <c r="B1004" t="s">
        <v>956</v>
      </c>
      <c r="C1004" t="s">
        <v>15</v>
      </c>
      <c r="D1004" t="s">
        <v>129</v>
      </c>
      <c r="E1004" t="s">
        <v>57</v>
      </c>
      <c r="F1004" t="s">
        <v>29</v>
      </c>
      <c r="G1004">
        <v>167</v>
      </c>
      <c r="H1004">
        <v>120000</v>
      </c>
      <c r="I1004">
        <v>20040000</v>
      </c>
    </row>
    <row r="1005" spans="1:9" x14ac:dyDescent="0.3">
      <c r="A1005" s="1">
        <v>45716</v>
      </c>
      <c r="B1005" t="s">
        <v>1089</v>
      </c>
      <c r="C1005" t="s">
        <v>53</v>
      </c>
      <c r="D1005" t="s">
        <v>86</v>
      </c>
      <c r="E1005" t="s">
        <v>12</v>
      </c>
      <c r="F1005" t="s">
        <v>13</v>
      </c>
      <c r="G1005">
        <v>167</v>
      </c>
      <c r="H1005">
        <v>65000</v>
      </c>
      <c r="I1005">
        <v>10855000</v>
      </c>
    </row>
    <row r="1006" spans="1:9" x14ac:dyDescent="0.3">
      <c r="A1006" s="1">
        <v>45715</v>
      </c>
      <c r="B1006" t="s">
        <v>267</v>
      </c>
      <c r="C1006" t="s">
        <v>24</v>
      </c>
      <c r="D1006" t="s">
        <v>65</v>
      </c>
      <c r="E1006" t="s">
        <v>21</v>
      </c>
      <c r="F1006" t="s">
        <v>13</v>
      </c>
      <c r="G1006">
        <v>168</v>
      </c>
      <c r="H1006">
        <v>55000</v>
      </c>
      <c r="I1006">
        <v>9240000</v>
      </c>
    </row>
    <row r="1007" spans="1:9" x14ac:dyDescent="0.3">
      <c r="A1007" s="1">
        <v>45693</v>
      </c>
      <c r="B1007" t="s">
        <v>316</v>
      </c>
      <c r="C1007" t="s">
        <v>53</v>
      </c>
      <c r="D1007" t="s">
        <v>121</v>
      </c>
      <c r="E1007" t="s">
        <v>32</v>
      </c>
      <c r="F1007" t="s">
        <v>33</v>
      </c>
      <c r="G1007">
        <v>168</v>
      </c>
      <c r="H1007">
        <v>65000</v>
      </c>
      <c r="I1007">
        <v>10920000</v>
      </c>
    </row>
    <row r="1008" spans="1:9" x14ac:dyDescent="0.3">
      <c r="A1008" s="1">
        <v>45909</v>
      </c>
      <c r="B1008" t="s">
        <v>472</v>
      </c>
      <c r="C1008" t="s">
        <v>24</v>
      </c>
      <c r="D1008" t="s">
        <v>95</v>
      </c>
      <c r="E1008" t="s">
        <v>26</v>
      </c>
      <c r="F1008" t="s">
        <v>22</v>
      </c>
      <c r="G1008">
        <v>168</v>
      </c>
      <c r="H1008">
        <v>55000</v>
      </c>
      <c r="I1008">
        <v>9240000</v>
      </c>
    </row>
    <row r="1009" spans="1:9" x14ac:dyDescent="0.3">
      <c r="A1009" s="1">
        <v>45836</v>
      </c>
      <c r="B1009" t="s">
        <v>540</v>
      </c>
      <c r="C1009" t="s">
        <v>24</v>
      </c>
      <c r="D1009" t="s">
        <v>38</v>
      </c>
      <c r="E1009" t="s">
        <v>17</v>
      </c>
      <c r="F1009" t="s">
        <v>29</v>
      </c>
      <c r="G1009">
        <v>168</v>
      </c>
      <c r="H1009">
        <v>55000</v>
      </c>
      <c r="I1009">
        <v>9240000</v>
      </c>
    </row>
    <row r="1010" spans="1:9" x14ac:dyDescent="0.3">
      <c r="A1010" s="1">
        <v>45661</v>
      </c>
      <c r="B1010" t="s">
        <v>679</v>
      </c>
      <c r="C1010" t="s">
        <v>10</v>
      </c>
      <c r="D1010" t="s">
        <v>201</v>
      </c>
      <c r="E1010" t="s">
        <v>21</v>
      </c>
      <c r="F1010" t="s">
        <v>29</v>
      </c>
      <c r="G1010">
        <v>168</v>
      </c>
      <c r="H1010">
        <v>75000</v>
      </c>
      <c r="I1010">
        <v>12600000</v>
      </c>
    </row>
    <row r="1011" spans="1:9" x14ac:dyDescent="0.3">
      <c r="A1011" s="1">
        <v>45756</v>
      </c>
      <c r="B1011" t="s">
        <v>1013</v>
      </c>
      <c r="C1011" t="s">
        <v>24</v>
      </c>
      <c r="D1011" t="s">
        <v>124</v>
      </c>
      <c r="E1011" t="s">
        <v>26</v>
      </c>
      <c r="F1011" t="s">
        <v>18</v>
      </c>
      <c r="G1011">
        <v>168</v>
      </c>
      <c r="H1011">
        <v>55000</v>
      </c>
      <c r="I1011">
        <v>9240000</v>
      </c>
    </row>
    <row r="1012" spans="1:9" x14ac:dyDescent="0.3">
      <c r="A1012" s="1">
        <v>45880</v>
      </c>
      <c r="B1012" t="s">
        <v>778</v>
      </c>
      <c r="C1012" t="s">
        <v>53</v>
      </c>
      <c r="D1012" t="s">
        <v>141</v>
      </c>
      <c r="E1012" t="s">
        <v>21</v>
      </c>
      <c r="F1012" t="s">
        <v>13</v>
      </c>
      <c r="G1012">
        <v>169</v>
      </c>
      <c r="H1012">
        <v>65000</v>
      </c>
      <c r="I1012">
        <v>10985000</v>
      </c>
    </row>
    <row r="1013" spans="1:9" x14ac:dyDescent="0.3">
      <c r="A1013" s="1">
        <v>45845</v>
      </c>
      <c r="B1013" t="s">
        <v>794</v>
      </c>
      <c r="C1013" t="s">
        <v>53</v>
      </c>
      <c r="D1013" t="s">
        <v>43</v>
      </c>
      <c r="E1013" t="s">
        <v>26</v>
      </c>
      <c r="F1013" t="s">
        <v>33</v>
      </c>
      <c r="G1013">
        <v>169</v>
      </c>
      <c r="H1013">
        <v>65000</v>
      </c>
      <c r="I1013">
        <v>10985000</v>
      </c>
    </row>
    <row r="1014" spans="1:9" x14ac:dyDescent="0.3">
      <c r="A1014" s="1">
        <v>45737</v>
      </c>
      <c r="B1014" t="s">
        <v>920</v>
      </c>
      <c r="C1014" t="s">
        <v>53</v>
      </c>
      <c r="D1014" t="s">
        <v>201</v>
      </c>
      <c r="E1014" t="s">
        <v>21</v>
      </c>
      <c r="F1014" t="s">
        <v>33</v>
      </c>
      <c r="G1014">
        <v>169</v>
      </c>
      <c r="H1014">
        <v>65000</v>
      </c>
      <c r="I1014">
        <v>10985000</v>
      </c>
    </row>
    <row r="1015" spans="1:9" x14ac:dyDescent="0.3">
      <c r="A1015" s="1">
        <v>45935</v>
      </c>
      <c r="B1015" t="s">
        <v>1183</v>
      </c>
      <c r="C1015" t="s">
        <v>24</v>
      </c>
      <c r="D1015" t="s">
        <v>81</v>
      </c>
      <c r="E1015" t="s">
        <v>32</v>
      </c>
      <c r="F1015" t="s">
        <v>29</v>
      </c>
      <c r="G1015">
        <v>169</v>
      </c>
      <c r="H1015">
        <v>55000</v>
      </c>
      <c r="I1015">
        <v>9295000</v>
      </c>
    </row>
    <row r="1016" spans="1:9" x14ac:dyDescent="0.3">
      <c r="A1016" s="1">
        <v>46018</v>
      </c>
      <c r="B1016" t="s">
        <v>58</v>
      </c>
      <c r="C1016" t="s">
        <v>15</v>
      </c>
      <c r="D1016" t="s">
        <v>59</v>
      </c>
      <c r="E1016" t="s">
        <v>41</v>
      </c>
      <c r="F1016" t="s">
        <v>33</v>
      </c>
      <c r="G1016">
        <v>170</v>
      </c>
      <c r="H1016">
        <v>120000</v>
      </c>
      <c r="I1016">
        <v>20400000</v>
      </c>
    </row>
    <row r="1017" spans="1:9" x14ac:dyDescent="0.3">
      <c r="A1017" s="1">
        <v>45897</v>
      </c>
      <c r="B1017" t="s">
        <v>507</v>
      </c>
      <c r="C1017" t="s">
        <v>53</v>
      </c>
      <c r="D1017" t="s">
        <v>28</v>
      </c>
      <c r="E1017" t="s">
        <v>17</v>
      </c>
      <c r="F1017" t="s">
        <v>22</v>
      </c>
      <c r="G1017">
        <v>170</v>
      </c>
      <c r="H1017">
        <v>65000</v>
      </c>
      <c r="I1017">
        <v>11050000</v>
      </c>
    </row>
    <row r="1018" spans="1:9" x14ac:dyDescent="0.3">
      <c r="A1018" s="1">
        <v>45928</v>
      </c>
      <c r="B1018" t="s">
        <v>520</v>
      </c>
      <c r="C1018" t="s">
        <v>10</v>
      </c>
      <c r="D1018" t="s">
        <v>35</v>
      </c>
      <c r="E1018" t="s">
        <v>36</v>
      </c>
      <c r="F1018" t="s">
        <v>13</v>
      </c>
      <c r="G1018">
        <v>170</v>
      </c>
      <c r="H1018">
        <v>75000</v>
      </c>
      <c r="I1018">
        <v>12750000</v>
      </c>
    </row>
    <row r="1019" spans="1:9" x14ac:dyDescent="0.3">
      <c r="A1019" s="1">
        <v>45747</v>
      </c>
      <c r="B1019" t="s">
        <v>522</v>
      </c>
      <c r="C1019" t="s">
        <v>53</v>
      </c>
      <c r="D1019" t="s">
        <v>99</v>
      </c>
      <c r="E1019" t="s">
        <v>32</v>
      </c>
      <c r="F1019" t="s">
        <v>29</v>
      </c>
      <c r="G1019">
        <v>170</v>
      </c>
      <c r="H1019">
        <v>65000</v>
      </c>
      <c r="I1019">
        <v>11050000</v>
      </c>
    </row>
    <row r="1020" spans="1:9" x14ac:dyDescent="0.3">
      <c r="A1020" s="1">
        <v>45835</v>
      </c>
      <c r="B1020" t="s">
        <v>622</v>
      </c>
      <c r="C1020" t="s">
        <v>10</v>
      </c>
      <c r="D1020" t="s">
        <v>86</v>
      </c>
      <c r="E1020" t="s">
        <v>12</v>
      </c>
      <c r="F1020" t="s">
        <v>13</v>
      </c>
      <c r="G1020">
        <v>170</v>
      </c>
      <c r="H1020">
        <v>75000</v>
      </c>
      <c r="I1020">
        <v>12750000</v>
      </c>
    </row>
    <row r="1021" spans="1:9" x14ac:dyDescent="0.3">
      <c r="A1021" s="1">
        <v>45930</v>
      </c>
      <c r="B1021" t="s">
        <v>690</v>
      </c>
      <c r="C1021" t="s">
        <v>15</v>
      </c>
      <c r="D1021" t="s">
        <v>11</v>
      </c>
      <c r="E1021" t="s">
        <v>12</v>
      </c>
      <c r="F1021" t="s">
        <v>13</v>
      </c>
      <c r="G1021">
        <v>170</v>
      </c>
      <c r="H1021">
        <v>120000</v>
      </c>
      <c r="I1021">
        <v>20400000</v>
      </c>
    </row>
    <row r="1022" spans="1:9" x14ac:dyDescent="0.3">
      <c r="A1022" s="1">
        <v>45912</v>
      </c>
      <c r="B1022" t="s">
        <v>863</v>
      </c>
      <c r="C1022" t="s">
        <v>24</v>
      </c>
      <c r="D1022" t="s">
        <v>25</v>
      </c>
      <c r="E1022" t="s">
        <v>26</v>
      </c>
      <c r="F1022" t="s">
        <v>22</v>
      </c>
      <c r="G1022">
        <v>170</v>
      </c>
      <c r="H1022">
        <v>55000</v>
      </c>
      <c r="I1022">
        <v>9350000</v>
      </c>
    </row>
    <row r="1023" spans="1:9" x14ac:dyDescent="0.3">
      <c r="A1023" s="1">
        <v>45745</v>
      </c>
      <c r="B1023" t="s">
        <v>916</v>
      </c>
      <c r="C1023" t="s">
        <v>24</v>
      </c>
      <c r="D1023" t="s">
        <v>121</v>
      </c>
      <c r="E1023" t="s">
        <v>32</v>
      </c>
      <c r="F1023" t="s">
        <v>22</v>
      </c>
      <c r="G1023">
        <v>170</v>
      </c>
      <c r="H1023">
        <v>55000</v>
      </c>
      <c r="I1023">
        <v>9350000</v>
      </c>
    </row>
    <row r="1024" spans="1:9" x14ac:dyDescent="0.3">
      <c r="A1024" s="1">
        <v>45691</v>
      </c>
      <c r="B1024" t="s">
        <v>1107</v>
      </c>
      <c r="C1024" t="s">
        <v>24</v>
      </c>
      <c r="D1024" t="s">
        <v>152</v>
      </c>
      <c r="E1024" t="s">
        <v>36</v>
      </c>
      <c r="F1024" t="s">
        <v>33</v>
      </c>
      <c r="G1024">
        <v>170</v>
      </c>
      <c r="H1024">
        <v>55000</v>
      </c>
      <c r="I1024">
        <v>9350000</v>
      </c>
    </row>
    <row r="1025" spans="1:9" x14ac:dyDescent="0.3">
      <c r="A1025" s="1">
        <v>45722</v>
      </c>
      <c r="B1025" t="s">
        <v>663</v>
      </c>
      <c r="C1025" t="s">
        <v>24</v>
      </c>
      <c r="D1025" t="s">
        <v>201</v>
      </c>
      <c r="E1025" t="s">
        <v>21</v>
      </c>
      <c r="F1025" t="s">
        <v>18</v>
      </c>
      <c r="G1025">
        <v>171</v>
      </c>
      <c r="H1025">
        <v>55000</v>
      </c>
      <c r="I1025">
        <v>9405000</v>
      </c>
    </row>
    <row r="1026" spans="1:9" x14ac:dyDescent="0.3">
      <c r="A1026" s="1">
        <v>45684</v>
      </c>
      <c r="B1026" t="s">
        <v>988</v>
      </c>
      <c r="C1026" t="s">
        <v>24</v>
      </c>
      <c r="D1026" t="s">
        <v>28</v>
      </c>
      <c r="E1026" t="s">
        <v>17</v>
      </c>
      <c r="F1026" t="s">
        <v>33</v>
      </c>
      <c r="G1026">
        <v>171</v>
      </c>
      <c r="H1026">
        <v>55000</v>
      </c>
      <c r="I1026">
        <v>9405000</v>
      </c>
    </row>
    <row r="1027" spans="1:9" x14ac:dyDescent="0.3">
      <c r="A1027" s="1">
        <v>45924</v>
      </c>
      <c r="B1027" t="s">
        <v>229</v>
      </c>
      <c r="C1027" t="s">
        <v>10</v>
      </c>
      <c r="D1027" t="s">
        <v>110</v>
      </c>
      <c r="E1027" t="s">
        <v>32</v>
      </c>
      <c r="F1027" t="s">
        <v>22</v>
      </c>
      <c r="G1027">
        <v>172</v>
      </c>
      <c r="H1027">
        <v>75000</v>
      </c>
      <c r="I1027">
        <v>12900000</v>
      </c>
    </row>
    <row r="1028" spans="1:9" x14ac:dyDescent="0.3">
      <c r="A1028" s="1">
        <v>45969</v>
      </c>
      <c r="B1028" t="s">
        <v>342</v>
      </c>
      <c r="C1028" t="s">
        <v>24</v>
      </c>
      <c r="D1028" t="s">
        <v>71</v>
      </c>
      <c r="E1028" t="s">
        <v>21</v>
      </c>
      <c r="F1028" t="s">
        <v>33</v>
      </c>
      <c r="G1028">
        <v>172</v>
      </c>
      <c r="H1028">
        <v>55000</v>
      </c>
      <c r="I1028">
        <v>9460000</v>
      </c>
    </row>
    <row r="1029" spans="1:9" x14ac:dyDescent="0.3">
      <c r="A1029" s="1">
        <v>45919</v>
      </c>
      <c r="B1029" t="s">
        <v>394</v>
      </c>
      <c r="C1029" t="s">
        <v>53</v>
      </c>
      <c r="D1029" t="s">
        <v>54</v>
      </c>
      <c r="E1029" t="s">
        <v>21</v>
      </c>
      <c r="F1029" t="s">
        <v>33</v>
      </c>
      <c r="G1029">
        <v>172</v>
      </c>
      <c r="H1029">
        <v>65000</v>
      </c>
      <c r="I1029">
        <v>11180000</v>
      </c>
    </row>
    <row r="1030" spans="1:9" x14ac:dyDescent="0.3">
      <c r="A1030" s="1">
        <v>45861</v>
      </c>
      <c r="B1030" t="s">
        <v>580</v>
      </c>
      <c r="C1030" t="s">
        <v>53</v>
      </c>
      <c r="D1030" t="s">
        <v>61</v>
      </c>
      <c r="E1030" t="s">
        <v>17</v>
      </c>
      <c r="F1030" t="s">
        <v>33</v>
      </c>
      <c r="G1030">
        <v>172</v>
      </c>
      <c r="H1030">
        <v>65000</v>
      </c>
      <c r="I1030">
        <v>11180000</v>
      </c>
    </row>
    <row r="1031" spans="1:9" x14ac:dyDescent="0.3">
      <c r="A1031" s="1">
        <v>45780</v>
      </c>
      <c r="B1031" t="s">
        <v>902</v>
      </c>
      <c r="C1031" t="s">
        <v>24</v>
      </c>
      <c r="D1031" t="s">
        <v>116</v>
      </c>
      <c r="E1031" t="s">
        <v>57</v>
      </c>
      <c r="F1031" t="s">
        <v>29</v>
      </c>
      <c r="G1031">
        <v>172</v>
      </c>
      <c r="H1031">
        <v>55000</v>
      </c>
      <c r="I1031">
        <v>9460000</v>
      </c>
    </row>
    <row r="1032" spans="1:9" x14ac:dyDescent="0.3">
      <c r="A1032" s="1">
        <v>45959</v>
      </c>
      <c r="B1032" t="s">
        <v>1019</v>
      </c>
      <c r="C1032" t="s">
        <v>53</v>
      </c>
      <c r="D1032" t="s">
        <v>269</v>
      </c>
      <c r="E1032" t="s">
        <v>32</v>
      </c>
      <c r="F1032" t="s">
        <v>13</v>
      </c>
      <c r="G1032">
        <v>172</v>
      </c>
      <c r="H1032">
        <v>65000</v>
      </c>
      <c r="I1032">
        <v>11180000</v>
      </c>
    </row>
    <row r="1033" spans="1:9" x14ac:dyDescent="0.3">
      <c r="A1033" s="1">
        <v>45693</v>
      </c>
      <c r="B1033" t="s">
        <v>92</v>
      </c>
      <c r="C1033" t="s">
        <v>10</v>
      </c>
      <c r="D1033" t="s">
        <v>93</v>
      </c>
      <c r="E1033" t="s">
        <v>41</v>
      </c>
      <c r="F1033" t="s">
        <v>29</v>
      </c>
      <c r="G1033">
        <v>173</v>
      </c>
      <c r="H1033">
        <v>75000</v>
      </c>
      <c r="I1033">
        <v>12975000</v>
      </c>
    </row>
    <row r="1034" spans="1:9" x14ac:dyDescent="0.3">
      <c r="A1034" s="1">
        <v>45902</v>
      </c>
      <c r="B1034" t="s">
        <v>280</v>
      </c>
      <c r="C1034" t="s">
        <v>24</v>
      </c>
      <c r="D1034" t="s">
        <v>20</v>
      </c>
      <c r="E1034" t="s">
        <v>21</v>
      </c>
      <c r="F1034" t="s">
        <v>22</v>
      </c>
      <c r="G1034">
        <v>173</v>
      </c>
      <c r="H1034">
        <v>55000</v>
      </c>
      <c r="I1034">
        <v>9515000</v>
      </c>
    </row>
    <row r="1035" spans="1:9" x14ac:dyDescent="0.3">
      <c r="A1035" s="1">
        <v>45838</v>
      </c>
      <c r="B1035" t="s">
        <v>579</v>
      </c>
      <c r="C1035" t="s">
        <v>53</v>
      </c>
      <c r="D1035" t="s">
        <v>141</v>
      </c>
      <c r="E1035" t="s">
        <v>21</v>
      </c>
      <c r="F1035" t="s">
        <v>33</v>
      </c>
      <c r="G1035">
        <v>173</v>
      </c>
      <c r="H1035">
        <v>65000</v>
      </c>
      <c r="I1035">
        <v>11245000</v>
      </c>
    </row>
    <row r="1036" spans="1:9" x14ac:dyDescent="0.3">
      <c r="A1036" s="1">
        <v>45718</v>
      </c>
      <c r="B1036" t="s">
        <v>677</v>
      </c>
      <c r="C1036" t="s">
        <v>10</v>
      </c>
      <c r="D1036" t="s">
        <v>49</v>
      </c>
      <c r="E1036" t="s">
        <v>26</v>
      </c>
      <c r="F1036" t="s">
        <v>22</v>
      </c>
      <c r="G1036">
        <v>173</v>
      </c>
      <c r="H1036">
        <v>75000</v>
      </c>
      <c r="I1036">
        <v>12975000</v>
      </c>
    </row>
    <row r="1037" spans="1:9" x14ac:dyDescent="0.3">
      <c r="A1037" s="1">
        <v>46007</v>
      </c>
      <c r="B1037" t="s">
        <v>1125</v>
      </c>
      <c r="C1037" t="s">
        <v>15</v>
      </c>
      <c r="D1037" t="s">
        <v>99</v>
      </c>
      <c r="E1037" t="s">
        <v>32</v>
      </c>
      <c r="F1037" t="s">
        <v>33</v>
      </c>
      <c r="G1037">
        <v>173</v>
      </c>
      <c r="H1037">
        <v>120000</v>
      </c>
      <c r="I1037">
        <v>20760000</v>
      </c>
    </row>
    <row r="1038" spans="1:9" x14ac:dyDescent="0.3">
      <c r="A1038" s="1">
        <v>45818</v>
      </c>
      <c r="B1038" t="s">
        <v>1188</v>
      </c>
      <c r="C1038" t="s">
        <v>15</v>
      </c>
      <c r="D1038" t="s">
        <v>40</v>
      </c>
      <c r="E1038" t="s">
        <v>41</v>
      </c>
      <c r="F1038" t="s">
        <v>29</v>
      </c>
      <c r="G1038">
        <v>173</v>
      </c>
      <c r="H1038">
        <v>120000</v>
      </c>
      <c r="I1038">
        <v>20760000</v>
      </c>
    </row>
    <row r="1039" spans="1:9" x14ac:dyDescent="0.3">
      <c r="A1039" s="1">
        <v>45674</v>
      </c>
      <c r="B1039" t="s">
        <v>459</v>
      </c>
      <c r="C1039" t="s">
        <v>53</v>
      </c>
      <c r="D1039" t="s">
        <v>99</v>
      </c>
      <c r="E1039" t="s">
        <v>32</v>
      </c>
      <c r="F1039" t="s">
        <v>33</v>
      </c>
      <c r="G1039">
        <v>174</v>
      </c>
      <c r="H1039">
        <v>65000</v>
      </c>
      <c r="I1039">
        <v>11310000</v>
      </c>
    </row>
    <row r="1040" spans="1:9" x14ac:dyDescent="0.3">
      <c r="A1040" s="1">
        <v>45954</v>
      </c>
      <c r="B1040" t="s">
        <v>595</v>
      </c>
      <c r="C1040" t="s">
        <v>24</v>
      </c>
      <c r="D1040" t="s">
        <v>91</v>
      </c>
      <c r="E1040" t="s">
        <v>17</v>
      </c>
      <c r="F1040" t="s">
        <v>22</v>
      </c>
      <c r="G1040">
        <v>174</v>
      </c>
      <c r="H1040">
        <v>55000</v>
      </c>
      <c r="I1040">
        <v>9570000</v>
      </c>
    </row>
    <row r="1041" spans="1:9" x14ac:dyDescent="0.3">
      <c r="A1041" s="1">
        <v>45660</v>
      </c>
      <c r="B1041" t="s">
        <v>825</v>
      </c>
      <c r="C1041" t="s">
        <v>24</v>
      </c>
      <c r="D1041" t="s">
        <v>20</v>
      </c>
      <c r="E1041" t="s">
        <v>21</v>
      </c>
      <c r="F1041" t="s">
        <v>29</v>
      </c>
      <c r="G1041">
        <v>174</v>
      </c>
      <c r="H1041">
        <v>55000</v>
      </c>
      <c r="I1041">
        <v>9570000</v>
      </c>
    </row>
    <row r="1042" spans="1:9" x14ac:dyDescent="0.3">
      <c r="A1042" s="1">
        <v>45924</v>
      </c>
      <c r="B1042" t="s">
        <v>851</v>
      </c>
      <c r="C1042" t="s">
        <v>15</v>
      </c>
      <c r="D1042" t="s">
        <v>119</v>
      </c>
      <c r="E1042" t="s">
        <v>36</v>
      </c>
      <c r="F1042" t="s">
        <v>33</v>
      </c>
      <c r="G1042">
        <v>174</v>
      </c>
      <c r="H1042">
        <v>120000</v>
      </c>
      <c r="I1042">
        <v>20880000</v>
      </c>
    </row>
    <row r="1043" spans="1:9" x14ac:dyDescent="0.3">
      <c r="A1043" s="1">
        <v>45728</v>
      </c>
      <c r="B1043" t="s">
        <v>957</v>
      </c>
      <c r="C1043" t="s">
        <v>10</v>
      </c>
      <c r="D1043" t="s">
        <v>305</v>
      </c>
      <c r="E1043" t="s">
        <v>32</v>
      </c>
      <c r="F1043" t="s">
        <v>29</v>
      </c>
      <c r="G1043">
        <v>174</v>
      </c>
      <c r="H1043">
        <v>75000</v>
      </c>
      <c r="I1043">
        <v>13050000</v>
      </c>
    </row>
    <row r="1044" spans="1:9" x14ac:dyDescent="0.3">
      <c r="A1044" s="1">
        <v>45838</v>
      </c>
      <c r="B1044" t="s">
        <v>1049</v>
      </c>
      <c r="C1044" t="s">
        <v>15</v>
      </c>
      <c r="D1044" t="s">
        <v>86</v>
      </c>
      <c r="E1044" t="s">
        <v>12</v>
      </c>
      <c r="F1044" t="s">
        <v>29</v>
      </c>
      <c r="G1044">
        <v>174</v>
      </c>
      <c r="H1044">
        <v>120000</v>
      </c>
      <c r="I1044">
        <v>20880000</v>
      </c>
    </row>
    <row r="1045" spans="1:9" x14ac:dyDescent="0.3">
      <c r="A1045" s="1">
        <v>45956</v>
      </c>
      <c r="B1045" t="s">
        <v>1103</v>
      </c>
      <c r="C1045" t="s">
        <v>53</v>
      </c>
      <c r="D1045" t="s">
        <v>305</v>
      </c>
      <c r="E1045" t="s">
        <v>32</v>
      </c>
      <c r="F1045" t="s">
        <v>13</v>
      </c>
      <c r="G1045">
        <v>174</v>
      </c>
      <c r="H1045">
        <v>65000</v>
      </c>
      <c r="I1045">
        <v>11310000</v>
      </c>
    </row>
    <row r="1046" spans="1:9" x14ac:dyDescent="0.3">
      <c r="A1046" s="1">
        <v>45868</v>
      </c>
      <c r="B1046" t="s">
        <v>151</v>
      </c>
      <c r="C1046" t="s">
        <v>24</v>
      </c>
      <c r="D1046" t="s">
        <v>152</v>
      </c>
      <c r="E1046" t="s">
        <v>36</v>
      </c>
      <c r="F1046" t="s">
        <v>29</v>
      </c>
      <c r="G1046">
        <v>175</v>
      </c>
      <c r="H1046">
        <v>55000</v>
      </c>
      <c r="I1046">
        <v>9625000</v>
      </c>
    </row>
    <row r="1047" spans="1:9" x14ac:dyDescent="0.3">
      <c r="A1047" s="1">
        <v>45842</v>
      </c>
      <c r="B1047" t="s">
        <v>333</v>
      </c>
      <c r="C1047" t="s">
        <v>15</v>
      </c>
      <c r="D1047" t="s">
        <v>16</v>
      </c>
      <c r="E1047" t="s">
        <v>17</v>
      </c>
      <c r="F1047" t="s">
        <v>22</v>
      </c>
      <c r="G1047">
        <v>175</v>
      </c>
      <c r="H1047">
        <v>120000</v>
      </c>
      <c r="I1047">
        <v>21000000</v>
      </c>
    </row>
    <row r="1048" spans="1:9" x14ac:dyDescent="0.3">
      <c r="A1048" s="1">
        <v>45771</v>
      </c>
      <c r="B1048" t="s">
        <v>641</v>
      </c>
      <c r="C1048" t="s">
        <v>24</v>
      </c>
      <c r="D1048" t="s">
        <v>86</v>
      </c>
      <c r="E1048" t="s">
        <v>12</v>
      </c>
      <c r="F1048" t="s">
        <v>18</v>
      </c>
      <c r="G1048">
        <v>175</v>
      </c>
      <c r="H1048">
        <v>55000</v>
      </c>
      <c r="I1048">
        <v>9625000</v>
      </c>
    </row>
    <row r="1049" spans="1:9" x14ac:dyDescent="0.3">
      <c r="A1049" s="1">
        <v>45741</v>
      </c>
      <c r="B1049" t="s">
        <v>647</v>
      </c>
      <c r="C1049" t="s">
        <v>10</v>
      </c>
      <c r="D1049" t="s">
        <v>91</v>
      </c>
      <c r="E1049" t="s">
        <v>17</v>
      </c>
      <c r="F1049" t="s">
        <v>13</v>
      </c>
      <c r="G1049">
        <v>175</v>
      </c>
      <c r="H1049">
        <v>75000</v>
      </c>
      <c r="I1049">
        <v>13125000</v>
      </c>
    </row>
    <row r="1050" spans="1:9" x14ac:dyDescent="0.3">
      <c r="A1050" s="1">
        <v>45933</v>
      </c>
      <c r="B1050" t="s">
        <v>746</v>
      </c>
      <c r="C1050" t="s">
        <v>24</v>
      </c>
      <c r="D1050" t="s">
        <v>47</v>
      </c>
      <c r="E1050" t="s">
        <v>41</v>
      </c>
      <c r="F1050" t="s">
        <v>18</v>
      </c>
      <c r="G1050">
        <v>175</v>
      </c>
      <c r="H1050">
        <v>55000</v>
      </c>
      <c r="I1050">
        <v>9625000</v>
      </c>
    </row>
    <row r="1051" spans="1:9" x14ac:dyDescent="0.3">
      <c r="A1051" s="1">
        <v>45943</v>
      </c>
      <c r="B1051" t="s">
        <v>593</v>
      </c>
      <c r="C1051" t="s">
        <v>53</v>
      </c>
      <c r="D1051" t="s">
        <v>184</v>
      </c>
      <c r="E1051" t="s">
        <v>57</v>
      </c>
      <c r="F1051" t="s">
        <v>13</v>
      </c>
      <c r="G1051">
        <v>176</v>
      </c>
      <c r="H1051">
        <v>65000</v>
      </c>
      <c r="I1051">
        <v>11440000</v>
      </c>
    </row>
    <row r="1052" spans="1:9" x14ac:dyDescent="0.3">
      <c r="A1052" s="1">
        <v>45983</v>
      </c>
      <c r="B1052" t="s">
        <v>596</v>
      </c>
      <c r="C1052" t="s">
        <v>10</v>
      </c>
      <c r="D1052" t="s">
        <v>45</v>
      </c>
      <c r="E1052" t="s">
        <v>12</v>
      </c>
      <c r="F1052" t="s">
        <v>22</v>
      </c>
      <c r="G1052">
        <v>176</v>
      </c>
      <c r="H1052">
        <v>75000</v>
      </c>
      <c r="I1052">
        <v>13200000</v>
      </c>
    </row>
    <row r="1053" spans="1:9" x14ac:dyDescent="0.3">
      <c r="A1053" s="1">
        <v>45975</v>
      </c>
      <c r="B1053" t="s">
        <v>1074</v>
      </c>
      <c r="C1053" t="s">
        <v>53</v>
      </c>
      <c r="D1053" t="s">
        <v>49</v>
      </c>
      <c r="E1053" t="s">
        <v>26</v>
      </c>
      <c r="F1053" t="s">
        <v>33</v>
      </c>
      <c r="G1053">
        <v>176</v>
      </c>
      <c r="H1053">
        <v>65000</v>
      </c>
      <c r="I1053">
        <v>11440000</v>
      </c>
    </row>
    <row r="1054" spans="1:9" x14ac:dyDescent="0.3">
      <c r="A1054" s="1">
        <v>45903</v>
      </c>
      <c r="B1054" t="s">
        <v>1114</v>
      </c>
      <c r="C1054" t="s">
        <v>24</v>
      </c>
      <c r="D1054" t="s">
        <v>121</v>
      </c>
      <c r="E1054" t="s">
        <v>32</v>
      </c>
      <c r="F1054" t="s">
        <v>22</v>
      </c>
      <c r="G1054">
        <v>176</v>
      </c>
      <c r="H1054">
        <v>55000</v>
      </c>
      <c r="I1054">
        <v>9680000</v>
      </c>
    </row>
    <row r="1055" spans="1:9" x14ac:dyDescent="0.3">
      <c r="A1055" s="1">
        <v>45842</v>
      </c>
      <c r="B1055" t="s">
        <v>1222</v>
      </c>
      <c r="C1055" t="s">
        <v>24</v>
      </c>
      <c r="D1055" t="s">
        <v>65</v>
      </c>
      <c r="E1055" t="s">
        <v>21</v>
      </c>
      <c r="F1055" t="s">
        <v>13</v>
      </c>
      <c r="G1055">
        <v>176</v>
      </c>
      <c r="H1055">
        <v>55000</v>
      </c>
      <c r="I1055">
        <v>9680000</v>
      </c>
    </row>
    <row r="1056" spans="1:9" x14ac:dyDescent="0.3">
      <c r="A1056" s="1">
        <v>46013</v>
      </c>
      <c r="B1056" t="s">
        <v>209</v>
      </c>
      <c r="C1056" t="s">
        <v>53</v>
      </c>
      <c r="D1056" t="s">
        <v>141</v>
      </c>
      <c r="E1056" t="s">
        <v>21</v>
      </c>
      <c r="F1056" t="s">
        <v>29</v>
      </c>
      <c r="G1056">
        <v>177</v>
      </c>
      <c r="H1056">
        <v>65000</v>
      </c>
      <c r="I1056">
        <v>11505000</v>
      </c>
    </row>
    <row r="1057" spans="1:9" x14ac:dyDescent="0.3">
      <c r="A1057" s="1">
        <v>45731</v>
      </c>
      <c r="B1057" t="s">
        <v>419</v>
      </c>
      <c r="C1057" t="s">
        <v>24</v>
      </c>
      <c r="D1057" t="s">
        <v>83</v>
      </c>
      <c r="E1057" t="s">
        <v>21</v>
      </c>
      <c r="F1057" t="s">
        <v>18</v>
      </c>
      <c r="G1057">
        <v>177</v>
      </c>
      <c r="H1057">
        <v>55000</v>
      </c>
      <c r="I1057">
        <v>9735000</v>
      </c>
    </row>
    <row r="1058" spans="1:9" x14ac:dyDescent="0.3">
      <c r="A1058" s="1">
        <v>45743</v>
      </c>
      <c r="B1058" t="s">
        <v>850</v>
      </c>
      <c r="C1058" t="s">
        <v>15</v>
      </c>
      <c r="D1058" t="s">
        <v>119</v>
      </c>
      <c r="E1058" t="s">
        <v>36</v>
      </c>
      <c r="F1058" t="s">
        <v>22</v>
      </c>
      <c r="G1058">
        <v>177</v>
      </c>
      <c r="H1058">
        <v>120000</v>
      </c>
      <c r="I1058">
        <v>21240000</v>
      </c>
    </row>
    <row r="1059" spans="1:9" x14ac:dyDescent="0.3">
      <c r="A1059" s="1">
        <v>45915</v>
      </c>
      <c r="B1059" t="s">
        <v>1227</v>
      </c>
      <c r="C1059" t="s">
        <v>24</v>
      </c>
      <c r="D1059" t="s">
        <v>99</v>
      </c>
      <c r="E1059" t="s">
        <v>32</v>
      </c>
      <c r="F1059" t="s">
        <v>13</v>
      </c>
      <c r="G1059">
        <v>177</v>
      </c>
      <c r="H1059">
        <v>55000</v>
      </c>
      <c r="I1059">
        <v>9735000</v>
      </c>
    </row>
    <row r="1060" spans="1:9" x14ac:dyDescent="0.3">
      <c r="A1060" s="1">
        <v>45761</v>
      </c>
      <c r="B1060" t="s">
        <v>1254</v>
      </c>
      <c r="C1060" t="s">
        <v>10</v>
      </c>
      <c r="D1060" t="s">
        <v>86</v>
      </c>
      <c r="E1060" t="s">
        <v>12</v>
      </c>
      <c r="F1060" t="s">
        <v>22</v>
      </c>
      <c r="G1060">
        <v>177</v>
      </c>
      <c r="H1060">
        <v>75000</v>
      </c>
      <c r="I1060">
        <v>13275000</v>
      </c>
    </row>
    <row r="1061" spans="1:9" x14ac:dyDescent="0.3">
      <c r="A1061" s="1">
        <v>45692</v>
      </c>
      <c r="B1061" t="s">
        <v>274</v>
      </c>
      <c r="C1061" t="s">
        <v>24</v>
      </c>
      <c r="D1061" t="s">
        <v>152</v>
      </c>
      <c r="E1061" t="s">
        <v>36</v>
      </c>
      <c r="F1061" t="s">
        <v>29</v>
      </c>
      <c r="G1061">
        <v>178</v>
      </c>
      <c r="H1061">
        <v>55000</v>
      </c>
      <c r="I1061">
        <v>9790000</v>
      </c>
    </row>
    <row r="1062" spans="1:9" x14ac:dyDescent="0.3">
      <c r="A1062" s="1">
        <v>45815</v>
      </c>
      <c r="B1062" t="s">
        <v>364</v>
      </c>
      <c r="C1062" t="s">
        <v>24</v>
      </c>
      <c r="D1062" t="s">
        <v>93</v>
      </c>
      <c r="E1062" t="s">
        <v>41</v>
      </c>
      <c r="F1062" t="s">
        <v>29</v>
      </c>
      <c r="G1062">
        <v>178</v>
      </c>
      <c r="H1062">
        <v>55000</v>
      </c>
      <c r="I1062">
        <v>9790000</v>
      </c>
    </row>
    <row r="1063" spans="1:9" x14ac:dyDescent="0.3">
      <c r="A1063" s="1">
        <v>45768</v>
      </c>
      <c r="B1063" t="s">
        <v>519</v>
      </c>
      <c r="C1063" t="s">
        <v>53</v>
      </c>
      <c r="D1063" t="s">
        <v>35</v>
      </c>
      <c r="E1063" t="s">
        <v>36</v>
      </c>
      <c r="F1063" t="s">
        <v>33</v>
      </c>
      <c r="G1063">
        <v>178</v>
      </c>
      <c r="H1063">
        <v>65000</v>
      </c>
      <c r="I1063">
        <v>11570000</v>
      </c>
    </row>
    <row r="1064" spans="1:9" x14ac:dyDescent="0.3">
      <c r="A1064" s="1">
        <v>45683</v>
      </c>
      <c r="B1064" t="s">
        <v>1011</v>
      </c>
      <c r="C1064" t="s">
        <v>15</v>
      </c>
      <c r="D1064" t="s">
        <v>49</v>
      </c>
      <c r="E1064" t="s">
        <v>26</v>
      </c>
      <c r="F1064" t="s">
        <v>22</v>
      </c>
      <c r="G1064">
        <v>178</v>
      </c>
      <c r="H1064">
        <v>120000</v>
      </c>
      <c r="I1064">
        <v>21360000</v>
      </c>
    </row>
    <row r="1065" spans="1:9" x14ac:dyDescent="0.3">
      <c r="A1065" s="1">
        <v>45723</v>
      </c>
      <c r="B1065" t="s">
        <v>1023</v>
      </c>
      <c r="C1065" t="s">
        <v>10</v>
      </c>
      <c r="D1065" t="s">
        <v>25</v>
      </c>
      <c r="E1065" t="s">
        <v>26</v>
      </c>
      <c r="F1065" t="s">
        <v>18</v>
      </c>
      <c r="G1065">
        <v>178</v>
      </c>
      <c r="H1065">
        <v>75000</v>
      </c>
      <c r="I1065">
        <v>13350000</v>
      </c>
    </row>
    <row r="1066" spans="1:9" x14ac:dyDescent="0.3">
      <c r="A1066" s="1">
        <v>45788</v>
      </c>
      <c r="B1066" t="s">
        <v>1256</v>
      </c>
      <c r="C1066" t="s">
        <v>15</v>
      </c>
      <c r="D1066" t="s">
        <v>43</v>
      </c>
      <c r="E1066" t="s">
        <v>26</v>
      </c>
      <c r="F1066" t="s">
        <v>18</v>
      </c>
      <c r="G1066">
        <v>178</v>
      </c>
      <c r="H1066">
        <v>120000</v>
      </c>
      <c r="I1066">
        <v>21360000</v>
      </c>
    </row>
    <row r="1067" spans="1:9" x14ac:dyDescent="0.3">
      <c r="A1067" s="1">
        <v>45860</v>
      </c>
      <c r="B1067" t="s">
        <v>317</v>
      </c>
      <c r="C1067" t="s">
        <v>24</v>
      </c>
      <c r="D1067" t="s">
        <v>43</v>
      </c>
      <c r="E1067" t="s">
        <v>26</v>
      </c>
      <c r="F1067" t="s">
        <v>13</v>
      </c>
      <c r="G1067">
        <v>179</v>
      </c>
      <c r="H1067">
        <v>55000</v>
      </c>
      <c r="I1067">
        <v>9845000</v>
      </c>
    </row>
    <row r="1068" spans="1:9" x14ac:dyDescent="0.3">
      <c r="A1068" s="1">
        <v>45660</v>
      </c>
      <c r="B1068" t="s">
        <v>827</v>
      </c>
      <c r="C1068" t="s">
        <v>15</v>
      </c>
      <c r="D1068" t="s">
        <v>81</v>
      </c>
      <c r="E1068" t="s">
        <v>32</v>
      </c>
      <c r="F1068" t="s">
        <v>22</v>
      </c>
      <c r="G1068">
        <v>179</v>
      </c>
      <c r="H1068">
        <v>120000</v>
      </c>
      <c r="I1068">
        <v>21480000</v>
      </c>
    </row>
    <row r="1069" spans="1:9" x14ac:dyDescent="0.3">
      <c r="A1069" s="1">
        <v>45995</v>
      </c>
      <c r="B1069" t="s">
        <v>1163</v>
      </c>
      <c r="C1069" t="s">
        <v>53</v>
      </c>
      <c r="D1069" t="s">
        <v>251</v>
      </c>
      <c r="E1069" t="s">
        <v>12</v>
      </c>
      <c r="F1069" t="s">
        <v>13</v>
      </c>
      <c r="G1069">
        <v>179</v>
      </c>
      <c r="H1069">
        <v>65000</v>
      </c>
      <c r="I1069">
        <v>11635000</v>
      </c>
    </row>
    <row r="1070" spans="1:9" x14ac:dyDescent="0.3">
      <c r="A1070" s="1">
        <v>45989</v>
      </c>
      <c r="B1070" t="s">
        <v>1178</v>
      </c>
      <c r="C1070" t="s">
        <v>24</v>
      </c>
      <c r="D1070" t="s">
        <v>59</v>
      </c>
      <c r="E1070" t="s">
        <v>41</v>
      </c>
      <c r="F1070" t="s">
        <v>22</v>
      </c>
      <c r="G1070">
        <v>179</v>
      </c>
      <c r="H1070">
        <v>55000</v>
      </c>
      <c r="I1070">
        <v>9845000</v>
      </c>
    </row>
    <row r="1071" spans="1:9" x14ac:dyDescent="0.3">
      <c r="A1071" s="1">
        <v>45846</v>
      </c>
      <c r="B1071" t="s">
        <v>674</v>
      </c>
      <c r="C1071" t="s">
        <v>53</v>
      </c>
      <c r="D1071" t="s">
        <v>116</v>
      </c>
      <c r="E1071" t="s">
        <v>57</v>
      </c>
      <c r="F1071" t="s">
        <v>22</v>
      </c>
      <c r="G1071">
        <v>180</v>
      </c>
      <c r="H1071">
        <v>65000</v>
      </c>
      <c r="I1071">
        <v>11700000</v>
      </c>
    </row>
    <row r="1072" spans="1:9" x14ac:dyDescent="0.3">
      <c r="A1072" s="1">
        <v>45860</v>
      </c>
      <c r="B1072" t="s">
        <v>915</v>
      </c>
      <c r="C1072" t="s">
        <v>10</v>
      </c>
      <c r="D1072" t="s">
        <v>305</v>
      </c>
      <c r="E1072" t="s">
        <v>32</v>
      </c>
      <c r="F1072" t="s">
        <v>33</v>
      </c>
      <c r="G1072">
        <v>180</v>
      </c>
      <c r="H1072">
        <v>75000</v>
      </c>
      <c r="I1072">
        <v>13500000</v>
      </c>
    </row>
    <row r="1073" spans="1:9" x14ac:dyDescent="0.3">
      <c r="A1073" s="1">
        <v>45781</v>
      </c>
      <c r="B1073" t="s">
        <v>923</v>
      </c>
      <c r="C1073" t="s">
        <v>24</v>
      </c>
      <c r="D1073" t="s">
        <v>59</v>
      </c>
      <c r="E1073" t="s">
        <v>41</v>
      </c>
      <c r="F1073" t="s">
        <v>22</v>
      </c>
      <c r="G1073">
        <v>180</v>
      </c>
      <c r="H1073">
        <v>55000</v>
      </c>
      <c r="I1073">
        <v>9900000</v>
      </c>
    </row>
    <row r="1074" spans="1:9" x14ac:dyDescent="0.3">
      <c r="A1074" s="1">
        <v>45749</v>
      </c>
      <c r="B1074" t="s">
        <v>928</v>
      </c>
      <c r="C1074" t="s">
        <v>10</v>
      </c>
      <c r="D1074" t="s">
        <v>68</v>
      </c>
      <c r="E1074" t="s">
        <v>21</v>
      </c>
      <c r="F1074" t="s">
        <v>22</v>
      </c>
      <c r="G1074">
        <v>180</v>
      </c>
      <c r="H1074">
        <v>75000</v>
      </c>
      <c r="I1074">
        <v>13500000</v>
      </c>
    </row>
    <row r="1075" spans="1:9" x14ac:dyDescent="0.3">
      <c r="A1075" s="1">
        <v>45968</v>
      </c>
      <c r="B1075" t="s">
        <v>936</v>
      </c>
      <c r="C1075" t="s">
        <v>53</v>
      </c>
      <c r="D1075" t="s">
        <v>38</v>
      </c>
      <c r="E1075" t="s">
        <v>17</v>
      </c>
      <c r="F1075" t="s">
        <v>33</v>
      </c>
      <c r="G1075">
        <v>180</v>
      </c>
      <c r="H1075">
        <v>65000</v>
      </c>
      <c r="I1075">
        <v>11700000</v>
      </c>
    </row>
    <row r="1076" spans="1:9" x14ac:dyDescent="0.3">
      <c r="A1076" s="1">
        <v>45851</v>
      </c>
      <c r="B1076" t="s">
        <v>953</v>
      </c>
      <c r="C1076" t="s">
        <v>10</v>
      </c>
      <c r="D1076" t="s">
        <v>20</v>
      </c>
      <c r="E1076" t="s">
        <v>21</v>
      </c>
      <c r="F1076" t="s">
        <v>33</v>
      </c>
      <c r="G1076">
        <v>180</v>
      </c>
      <c r="H1076">
        <v>75000</v>
      </c>
      <c r="I1076">
        <v>13500000</v>
      </c>
    </row>
    <row r="1077" spans="1:9" x14ac:dyDescent="0.3">
      <c r="A1077" s="1">
        <v>45798</v>
      </c>
      <c r="B1077" t="s">
        <v>1062</v>
      </c>
      <c r="C1077" t="s">
        <v>10</v>
      </c>
      <c r="D1077" t="s">
        <v>91</v>
      </c>
      <c r="E1077" t="s">
        <v>17</v>
      </c>
      <c r="F1077" t="s">
        <v>13</v>
      </c>
      <c r="G1077">
        <v>180</v>
      </c>
      <c r="H1077">
        <v>75000</v>
      </c>
      <c r="I1077">
        <v>13500000</v>
      </c>
    </row>
    <row r="1078" spans="1:9" x14ac:dyDescent="0.3">
      <c r="A1078" s="1">
        <v>45684</v>
      </c>
      <c r="B1078" t="s">
        <v>1258</v>
      </c>
      <c r="C1078" t="s">
        <v>24</v>
      </c>
      <c r="D1078" t="s">
        <v>104</v>
      </c>
      <c r="E1078" t="s">
        <v>26</v>
      </c>
      <c r="F1078" t="s">
        <v>22</v>
      </c>
      <c r="G1078">
        <v>180</v>
      </c>
      <c r="H1078">
        <v>55000</v>
      </c>
      <c r="I1078">
        <v>9900000</v>
      </c>
    </row>
    <row r="1079" spans="1:9" x14ac:dyDescent="0.3">
      <c r="A1079" s="1">
        <v>45999</v>
      </c>
      <c r="B1079" t="s">
        <v>123</v>
      </c>
      <c r="C1079" t="s">
        <v>53</v>
      </c>
      <c r="D1079" t="s">
        <v>124</v>
      </c>
      <c r="E1079" t="s">
        <v>26</v>
      </c>
      <c r="F1079" t="s">
        <v>29</v>
      </c>
      <c r="G1079">
        <v>181</v>
      </c>
      <c r="H1079">
        <v>65000</v>
      </c>
      <c r="I1079">
        <v>11765000</v>
      </c>
    </row>
    <row r="1080" spans="1:9" x14ac:dyDescent="0.3">
      <c r="A1080" s="1">
        <v>45974</v>
      </c>
      <c r="B1080" t="s">
        <v>160</v>
      </c>
      <c r="C1080" t="s">
        <v>10</v>
      </c>
      <c r="D1080" t="s">
        <v>141</v>
      </c>
      <c r="E1080" t="s">
        <v>21</v>
      </c>
      <c r="F1080" t="s">
        <v>33</v>
      </c>
      <c r="G1080">
        <v>181</v>
      </c>
      <c r="H1080">
        <v>75000</v>
      </c>
      <c r="I1080">
        <v>13575000</v>
      </c>
    </row>
    <row r="1081" spans="1:9" x14ac:dyDescent="0.3">
      <c r="A1081" s="1">
        <v>45986</v>
      </c>
      <c r="B1081" t="s">
        <v>910</v>
      </c>
      <c r="C1081" t="s">
        <v>15</v>
      </c>
      <c r="D1081" t="s">
        <v>201</v>
      </c>
      <c r="E1081" t="s">
        <v>21</v>
      </c>
      <c r="F1081" t="s">
        <v>29</v>
      </c>
      <c r="G1081">
        <v>181</v>
      </c>
      <c r="H1081">
        <v>120000</v>
      </c>
      <c r="I1081">
        <v>21720000</v>
      </c>
    </row>
    <row r="1082" spans="1:9" x14ac:dyDescent="0.3">
      <c r="A1082" s="1">
        <v>45930</v>
      </c>
      <c r="B1082" t="s">
        <v>205</v>
      </c>
      <c r="C1082" t="s">
        <v>15</v>
      </c>
      <c r="D1082" t="s">
        <v>38</v>
      </c>
      <c r="E1082" t="s">
        <v>17</v>
      </c>
      <c r="F1082" t="s">
        <v>22</v>
      </c>
      <c r="G1082">
        <v>182</v>
      </c>
      <c r="H1082">
        <v>120000</v>
      </c>
      <c r="I1082">
        <v>21840000</v>
      </c>
    </row>
    <row r="1083" spans="1:9" x14ac:dyDescent="0.3">
      <c r="A1083" s="1">
        <v>45702</v>
      </c>
      <c r="B1083" t="s">
        <v>416</v>
      </c>
      <c r="C1083" t="s">
        <v>24</v>
      </c>
      <c r="D1083" t="s">
        <v>201</v>
      </c>
      <c r="E1083" t="s">
        <v>21</v>
      </c>
      <c r="F1083" t="s">
        <v>13</v>
      </c>
      <c r="G1083">
        <v>182</v>
      </c>
      <c r="H1083">
        <v>55000</v>
      </c>
      <c r="I1083">
        <v>10010000</v>
      </c>
    </row>
    <row r="1084" spans="1:9" x14ac:dyDescent="0.3">
      <c r="A1084" s="1">
        <v>45982</v>
      </c>
      <c r="B1084" t="s">
        <v>433</v>
      </c>
      <c r="C1084" t="s">
        <v>24</v>
      </c>
      <c r="D1084" t="s">
        <v>133</v>
      </c>
      <c r="E1084" t="s">
        <v>17</v>
      </c>
      <c r="F1084" t="s">
        <v>18</v>
      </c>
      <c r="G1084">
        <v>182</v>
      </c>
      <c r="H1084">
        <v>55000</v>
      </c>
      <c r="I1084">
        <v>10010000</v>
      </c>
    </row>
    <row r="1085" spans="1:9" x14ac:dyDescent="0.3">
      <c r="A1085" s="1">
        <v>45934</v>
      </c>
      <c r="B1085" t="s">
        <v>508</v>
      </c>
      <c r="C1085" t="s">
        <v>24</v>
      </c>
      <c r="D1085" t="s">
        <v>63</v>
      </c>
      <c r="E1085" t="s">
        <v>32</v>
      </c>
      <c r="F1085" t="s">
        <v>22</v>
      </c>
      <c r="G1085">
        <v>182</v>
      </c>
      <c r="H1085">
        <v>55000</v>
      </c>
      <c r="I1085">
        <v>10010000</v>
      </c>
    </row>
    <row r="1086" spans="1:9" x14ac:dyDescent="0.3">
      <c r="A1086" s="1">
        <v>45810</v>
      </c>
      <c r="B1086" t="s">
        <v>694</v>
      </c>
      <c r="C1086" t="s">
        <v>24</v>
      </c>
      <c r="D1086" t="s">
        <v>119</v>
      </c>
      <c r="E1086" t="s">
        <v>36</v>
      </c>
      <c r="F1086" t="s">
        <v>18</v>
      </c>
      <c r="G1086">
        <v>182</v>
      </c>
      <c r="H1086">
        <v>55000</v>
      </c>
      <c r="I1086">
        <v>10010000</v>
      </c>
    </row>
    <row r="1087" spans="1:9" x14ac:dyDescent="0.3">
      <c r="A1087" s="1">
        <v>45793</v>
      </c>
      <c r="B1087" t="s">
        <v>14</v>
      </c>
      <c r="C1087" t="s">
        <v>15</v>
      </c>
      <c r="D1087" t="s">
        <v>16</v>
      </c>
      <c r="E1087" t="s">
        <v>17</v>
      </c>
      <c r="F1087" t="s">
        <v>18</v>
      </c>
      <c r="G1087">
        <v>183</v>
      </c>
      <c r="H1087">
        <v>120000</v>
      </c>
      <c r="I1087">
        <v>21960000</v>
      </c>
    </row>
    <row r="1088" spans="1:9" x14ac:dyDescent="0.3">
      <c r="A1088" s="1">
        <v>46003</v>
      </c>
      <c r="B1088" t="s">
        <v>248</v>
      </c>
      <c r="C1088" t="s">
        <v>10</v>
      </c>
      <c r="D1088" t="s">
        <v>119</v>
      </c>
      <c r="E1088" t="s">
        <v>36</v>
      </c>
      <c r="F1088" t="s">
        <v>13</v>
      </c>
      <c r="G1088">
        <v>183</v>
      </c>
      <c r="H1088">
        <v>75000</v>
      </c>
      <c r="I1088">
        <v>13725000</v>
      </c>
    </row>
    <row r="1089" spans="1:9" x14ac:dyDescent="0.3">
      <c r="A1089" s="1">
        <v>45887</v>
      </c>
      <c r="B1089" t="s">
        <v>665</v>
      </c>
      <c r="C1089" t="s">
        <v>10</v>
      </c>
      <c r="D1089" t="s">
        <v>93</v>
      </c>
      <c r="E1089" t="s">
        <v>41</v>
      </c>
      <c r="F1089" t="s">
        <v>13</v>
      </c>
      <c r="G1089">
        <v>183</v>
      </c>
      <c r="H1089">
        <v>75000</v>
      </c>
      <c r="I1089">
        <v>13725000</v>
      </c>
    </row>
    <row r="1090" spans="1:9" x14ac:dyDescent="0.3">
      <c r="A1090" s="1">
        <v>45753</v>
      </c>
      <c r="B1090" t="s">
        <v>1117</v>
      </c>
      <c r="C1090" t="s">
        <v>10</v>
      </c>
      <c r="D1090" t="s">
        <v>81</v>
      </c>
      <c r="E1090" t="s">
        <v>32</v>
      </c>
      <c r="F1090" t="s">
        <v>22</v>
      </c>
      <c r="G1090">
        <v>183</v>
      </c>
      <c r="H1090">
        <v>75000</v>
      </c>
      <c r="I1090">
        <v>13725000</v>
      </c>
    </row>
    <row r="1091" spans="1:9" x14ac:dyDescent="0.3">
      <c r="A1091" s="1">
        <v>45692</v>
      </c>
      <c r="B1091" t="s">
        <v>1130</v>
      </c>
      <c r="C1091" t="s">
        <v>24</v>
      </c>
      <c r="D1091" t="s">
        <v>56</v>
      </c>
      <c r="E1091" t="s">
        <v>57</v>
      </c>
      <c r="F1091" t="s">
        <v>18</v>
      </c>
      <c r="G1091">
        <v>183</v>
      </c>
      <c r="H1091">
        <v>55000</v>
      </c>
      <c r="I1091">
        <v>10065000</v>
      </c>
    </row>
    <row r="1092" spans="1:9" x14ac:dyDescent="0.3">
      <c r="A1092" s="1">
        <v>45769</v>
      </c>
      <c r="B1092" t="s">
        <v>78</v>
      </c>
      <c r="C1092" t="s">
        <v>15</v>
      </c>
      <c r="D1092" t="s">
        <v>79</v>
      </c>
      <c r="E1092" t="s">
        <v>36</v>
      </c>
      <c r="F1092" t="s">
        <v>33</v>
      </c>
      <c r="G1092">
        <v>184</v>
      </c>
      <c r="H1092">
        <v>120000</v>
      </c>
      <c r="I1092">
        <v>22080000</v>
      </c>
    </row>
    <row r="1093" spans="1:9" x14ac:dyDescent="0.3">
      <c r="A1093" s="1">
        <v>45957</v>
      </c>
      <c r="B1093" t="s">
        <v>438</v>
      </c>
      <c r="C1093" t="s">
        <v>15</v>
      </c>
      <c r="D1093" t="s">
        <v>25</v>
      </c>
      <c r="E1093" t="s">
        <v>26</v>
      </c>
      <c r="F1093" t="s">
        <v>13</v>
      </c>
      <c r="G1093">
        <v>184</v>
      </c>
      <c r="H1093">
        <v>120000</v>
      </c>
      <c r="I1093">
        <v>22080000</v>
      </c>
    </row>
    <row r="1094" spans="1:9" x14ac:dyDescent="0.3">
      <c r="A1094" s="1">
        <v>45679</v>
      </c>
      <c r="B1094" t="s">
        <v>514</v>
      </c>
      <c r="C1094" t="s">
        <v>53</v>
      </c>
      <c r="D1094" t="s">
        <v>99</v>
      </c>
      <c r="E1094" t="s">
        <v>32</v>
      </c>
      <c r="F1094" t="s">
        <v>13</v>
      </c>
      <c r="G1094">
        <v>184</v>
      </c>
      <c r="H1094">
        <v>65000</v>
      </c>
      <c r="I1094">
        <v>11960000</v>
      </c>
    </row>
    <row r="1095" spans="1:9" x14ac:dyDescent="0.3">
      <c r="A1095" s="1">
        <v>45824</v>
      </c>
      <c r="B1095" t="s">
        <v>648</v>
      </c>
      <c r="C1095" t="s">
        <v>10</v>
      </c>
      <c r="D1095" t="s">
        <v>121</v>
      </c>
      <c r="E1095" t="s">
        <v>32</v>
      </c>
      <c r="F1095" t="s">
        <v>29</v>
      </c>
      <c r="G1095">
        <v>184</v>
      </c>
      <c r="H1095">
        <v>75000</v>
      </c>
      <c r="I1095">
        <v>13800000</v>
      </c>
    </row>
    <row r="1096" spans="1:9" x14ac:dyDescent="0.3">
      <c r="A1096" s="1">
        <v>45772</v>
      </c>
      <c r="B1096" t="s">
        <v>859</v>
      </c>
      <c r="C1096" t="s">
        <v>24</v>
      </c>
      <c r="D1096" t="s">
        <v>45</v>
      </c>
      <c r="E1096" t="s">
        <v>12</v>
      </c>
      <c r="F1096" t="s">
        <v>29</v>
      </c>
      <c r="G1096">
        <v>184</v>
      </c>
      <c r="H1096">
        <v>55000</v>
      </c>
      <c r="I1096">
        <v>10120000</v>
      </c>
    </row>
    <row r="1097" spans="1:9" x14ac:dyDescent="0.3">
      <c r="A1097" s="1">
        <v>45927</v>
      </c>
      <c r="B1097" t="s">
        <v>864</v>
      </c>
      <c r="C1097" t="s">
        <v>15</v>
      </c>
      <c r="D1097" t="s">
        <v>136</v>
      </c>
      <c r="E1097" t="s">
        <v>36</v>
      </c>
      <c r="F1097" t="s">
        <v>33</v>
      </c>
      <c r="G1097">
        <v>184</v>
      </c>
      <c r="H1097">
        <v>120000</v>
      </c>
      <c r="I1097">
        <v>22080000</v>
      </c>
    </row>
    <row r="1098" spans="1:9" x14ac:dyDescent="0.3">
      <c r="A1098" s="1">
        <v>45857</v>
      </c>
      <c r="B1098" t="s">
        <v>967</v>
      </c>
      <c r="C1098" t="s">
        <v>10</v>
      </c>
      <c r="D1098" t="s">
        <v>59</v>
      </c>
      <c r="E1098" t="s">
        <v>41</v>
      </c>
      <c r="F1098" t="s">
        <v>18</v>
      </c>
      <c r="G1098">
        <v>184</v>
      </c>
      <c r="H1098">
        <v>75000</v>
      </c>
      <c r="I1098">
        <v>13800000</v>
      </c>
    </row>
    <row r="1099" spans="1:9" x14ac:dyDescent="0.3">
      <c r="A1099" s="1">
        <v>45730</v>
      </c>
      <c r="B1099" t="s">
        <v>168</v>
      </c>
      <c r="C1099" t="s">
        <v>53</v>
      </c>
      <c r="D1099" t="s">
        <v>65</v>
      </c>
      <c r="E1099" t="s">
        <v>21</v>
      </c>
      <c r="F1099" t="s">
        <v>29</v>
      </c>
      <c r="G1099">
        <v>185</v>
      </c>
      <c r="H1099">
        <v>65000</v>
      </c>
      <c r="I1099">
        <v>12025000</v>
      </c>
    </row>
    <row r="1100" spans="1:9" x14ac:dyDescent="0.3">
      <c r="A1100" s="1">
        <v>45838</v>
      </c>
      <c r="B1100" t="s">
        <v>243</v>
      </c>
      <c r="C1100" t="s">
        <v>24</v>
      </c>
      <c r="D1100" t="s">
        <v>20</v>
      </c>
      <c r="E1100" t="s">
        <v>21</v>
      </c>
      <c r="F1100" t="s">
        <v>13</v>
      </c>
      <c r="G1100">
        <v>185</v>
      </c>
      <c r="H1100">
        <v>55000</v>
      </c>
      <c r="I1100">
        <v>10175000</v>
      </c>
    </row>
    <row r="1101" spans="1:9" x14ac:dyDescent="0.3">
      <c r="A1101" s="1">
        <v>45980</v>
      </c>
      <c r="B1101" t="s">
        <v>263</v>
      </c>
      <c r="C1101" t="s">
        <v>53</v>
      </c>
      <c r="D1101" t="s">
        <v>35</v>
      </c>
      <c r="E1101" t="s">
        <v>36</v>
      </c>
      <c r="F1101" t="s">
        <v>33</v>
      </c>
      <c r="G1101">
        <v>185</v>
      </c>
      <c r="H1101">
        <v>65000</v>
      </c>
      <c r="I1101">
        <v>12025000</v>
      </c>
    </row>
    <row r="1102" spans="1:9" x14ac:dyDescent="0.3">
      <c r="A1102" s="1">
        <v>46017</v>
      </c>
      <c r="B1102" t="s">
        <v>398</v>
      </c>
      <c r="C1102" t="s">
        <v>15</v>
      </c>
      <c r="D1102" t="s">
        <v>31</v>
      </c>
      <c r="E1102" t="s">
        <v>32</v>
      </c>
      <c r="F1102" t="s">
        <v>33</v>
      </c>
      <c r="G1102">
        <v>185</v>
      </c>
      <c r="H1102">
        <v>120000</v>
      </c>
      <c r="I1102">
        <v>22200000</v>
      </c>
    </row>
    <row r="1103" spans="1:9" x14ac:dyDescent="0.3">
      <c r="A1103" s="1">
        <v>45828</v>
      </c>
      <c r="B1103" t="s">
        <v>586</v>
      </c>
      <c r="C1103" t="s">
        <v>10</v>
      </c>
      <c r="D1103" t="s">
        <v>305</v>
      </c>
      <c r="E1103" t="s">
        <v>32</v>
      </c>
      <c r="F1103" t="s">
        <v>13</v>
      </c>
      <c r="G1103">
        <v>185</v>
      </c>
      <c r="H1103">
        <v>75000</v>
      </c>
      <c r="I1103">
        <v>13875000</v>
      </c>
    </row>
    <row r="1104" spans="1:9" x14ac:dyDescent="0.3">
      <c r="A1104" s="1">
        <v>45792</v>
      </c>
      <c r="B1104" t="s">
        <v>619</v>
      </c>
      <c r="C1104" t="s">
        <v>24</v>
      </c>
      <c r="D1104" t="s">
        <v>63</v>
      </c>
      <c r="E1104" t="s">
        <v>32</v>
      </c>
      <c r="F1104" t="s">
        <v>22</v>
      </c>
      <c r="G1104">
        <v>185</v>
      </c>
      <c r="H1104">
        <v>55000</v>
      </c>
      <c r="I1104">
        <v>10175000</v>
      </c>
    </row>
    <row r="1105" spans="1:9" x14ac:dyDescent="0.3">
      <c r="A1105" s="1">
        <v>45771</v>
      </c>
      <c r="B1105" t="s">
        <v>735</v>
      </c>
      <c r="C1105" t="s">
        <v>53</v>
      </c>
      <c r="D1105" t="s">
        <v>47</v>
      </c>
      <c r="E1105" t="s">
        <v>41</v>
      </c>
      <c r="F1105" t="s">
        <v>18</v>
      </c>
      <c r="G1105">
        <v>185</v>
      </c>
      <c r="H1105">
        <v>65000</v>
      </c>
      <c r="I1105">
        <v>12025000</v>
      </c>
    </row>
    <row r="1106" spans="1:9" x14ac:dyDescent="0.3">
      <c r="A1106" s="1">
        <v>45803</v>
      </c>
      <c r="B1106" t="s">
        <v>177</v>
      </c>
      <c r="C1106" t="s">
        <v>53</v>
      </c>
      <c r="D1106" t="s">
        <v>129</v>
      </c>
      <c r="E1106" t="s">
        <v>57</v>
      </c>
      <c r="F1106" t="s">
        <v>33</v>
      </c>
      <c r="G1106">
        <v>186</v>
      </c>
      <c r="H1106">
        <v>65000</v>
      </c>
      <c r="I1106">
        <v>12090000</v>
      </c>
    </row>
    <row r="1107" spans="1:9" x14ac:dyDescent="0.3">
      <c r="A1107" s="1">
        <v>45807</v>
      </c>
      <c r="B1107" t="s">
        <v>266</v>
      </c>
      <c r="C1107" t="s">
        <v>10</v>
      </c>
      <c r="D1107" t="s">
        <v>81</v>
      </c>
      <c r="E1107" t="s">
        <v>32</v>
      </c>
      <c r="F1107" t="s">
        <v>33</v>
      </c>
      <c r="G1107">
        <v>186</v>
      </c>
      <c r="H1107">
        <v>75000</v>
      </c>
      <c r="I1107">
        <v>13950000</v>
      </c>
    </row>
    <row r="1108" spans="1:9" x14ac:dyDescent="0.3">
      <c r="A1108" s="1">
        <v>45883</v>
      </c>
      <c r="B1108" t="s">
        <v>286</v>
      </c>
      <c r="C1108" t="s">
        <v>15</v>
      </c>
      <c r="D1108" t="s">
        <v>61</v>
      </c>
      <c r="E1108" t="s">
        <v>17</v>
      </c>
      <c r="F1108" t="s">
        <v>18</v>
      </c>
      <c r="G1108">
        <v>186</v>
      </c>
      <c r="H1108">
        <v>120000</v>
      </c>
      <c r="I1108">
        <v>22320000</v>
      </c>
    </row>
    <row r="1109" spans="1:9" x14ac:dyDescent="0.3">
      <c r="A1109" s="1">
        <v>46003</v>
      </c>
      <c r="B1109" t="s">
        <v>399</v>
      </c>
      <c r="C1109" t="s">
        <v>10</v>
      </c>
      <c r="D1109" t="s">
        <v>38</v>
      </c>
      <c r="E1109" t="s">
        <v>17</v>
      </c>
      <c r="F1109" t="s">
        <v>18</v>
      </c>
      <c r="G1109">
        <v>186</v>
      </c>
      <c r="H1109">
        <v>75000</v>
      </c>
      <c r="I1109">
        <v>13950000</v>
      </c>
    </row>
    <row r="1110" spans="1:9" x14ac:dyDescent="0.3">
      <c r="A1110" s="1">
        <v>45770</v>
      </c>
      <c r="B1110" t="s">
        <v>862</v>
      </c>
      <c r="C1110" t="s">
        <v>24</v>
      </c>
      <c r="D1110" t="s">
        <v>191</v>
      </c>
      <c r="E1110" t="s">
        <v>57</v>
      </c>
      <c r="F1110" t="s">
        <v>33</v>
      </c>
      <c r="G1110">
        <v>186</v>
      </c>
      <c r="H1110">
        <v>55000</v>
      </c>
      <c r="I1110">
        <v>10230000</v>
      </c>
    </row>
    <row r="1111" spans="1:9" x14ac:dyDescent="0.3">
      <c r="A1111" s="1">
        <v>45783</v>
      </c>
      <c r="B1111" t="s">
        <v>338</v>
      </c>
      <c r="C1111" t="s">
        <v>15</v>
      </c>
      <c r="D1111" t="s">
        <v>95</v>
      </c>
      <c r="E1111" t="s">
        <v>26</v>
      </c>
      <c r="F1111" t="s">
        <v>18</v>
      </c>
      <c r="G1111">
        <v>187</v>
      </c>
      <c r="H1111">
        <v>120000</v>
      </c>
      <c r="I1111">
        <v>22440000</v>
      </c>
    </row>
    <row r="1112" spans="1:9" x14ac:dyDescent="0.3">
      <c r="A1112" s="1">
        <v>45716</v>
      </c>
      <c r="B1112" t="s">
        <v>949</v>
      </c>
      <c r="C1112" t="s">
        <v>53</v>
      </c>
      <c r="D1112" t="s">
        <v>141</v>
      </c>
      <c r="E1112" t="s">
        <v>21</v>
      </c>
      <c r="F1112" t="s">
        <v>29</v>
      </c>
      <c r="G1112">
        <v>187</v>
      </c>
      <c r="H1112">
        <v>65000</v>
      </c>
      <c r="I1112">
        <v>12155000</v>
      </c>
    </row>
    <row r="1113" spans="1:9" x14ac:dyDescent="0.3">
      <c r="A1113" s="1">
        <v>45833</v>
      </c>
      <c r="B1113" t="s">
        <v>962</v>
      </c>
      <c r="C1113" t="s">
        <v>24</v>
      </c>
      <c r="D1113" t="s">
        <v>51</v>
      </c>
      <c r="E1113" t="s">
        <v>36</v>
      </c>
      <c r="F1113" t="s">
        <v>18</v>
      </c>
      <c r="G1113">
        <v>187</v>
      </c>
      <c r="H1113">
        <v>55000</v>
      </c>
      <c r="I1113">
        <v>10285000</v>
      </c>
    </row>
    <row r="1114" spans="1:9" x14ac:dyDescent="0.3">
      <c r="A1114" s="1">
        <v>45976</v>
      </c>
      <c r="B1114" t="s">
        <v>130</v>
      </c>
      <c r="C1114" t="s">
        <v>15</v>
      </c>
      <c r="D1114" t="s">
        <v>56</v>
      </c>
      <c r="E1114" t="s">
        <v>57</v>
      </c>
      <c r="F1114" t="s">
        <v>29</v>
      </c>
      <c r="G1114">
        <v>188</v>
      </c>
      <c r="H1114">
        <v>120000</v>
      </c>
      <c r="I1114">
        <v>22560000</v>
      </c>
    </row>
    <row r="1115" spans="1:9" x14ac:dyDescent="0.3">
      <c r="A1115" s="1">
        <v>45908</v>
      </c>
      <c r="B1115" t="s">
        <v>227</v>
      </c>
      <c r="C1115" t="s">
        <v>24</v>
      </c>
      <c r="D1115" t="s">
        <v>129</v>
      </c>
      <c r="E1115" t="s">
        <v>57</v>
      </c>
      <c r="F1115" t="s">
        <v>22</v>
      </c>
      <c r="G1115">
        <v>188</v>
      </c>
      <c r="H1115">
        <v>55000</v>
      </c>
      <c r="I1115">
        <v>10340000</v>
      </c>
    </row>
    <row r="1116" spans="1:9" x14ac:dyDescent="0.3">
      <c r="A1116" s="1">
        <v>45856</v>
      </c>
      <c r="B1116" t="s">
        <v>349</v>
      </c>
      <c r="C1116" t="s">
        <v>15</v>
      </c>
      <c r="D1116" t="s">
        <v>49</v>
      </c>
      <c r="E1116" t="s">
        <v>26</v>
      </c>
      <c r="F1116" t="s">
        <v>22</v>
      </c>
      <c r="G1116">
        <v>188</v>
      </c>
      <c r="H1116">
        <v>120000</v>
      </c>
      <c r="I1116">
        <v>22560000</v>
      </c>
    </row>
    <row r="1117" spans="1:9" x14ac:dyDescent="0.3">
      <c r="A1117" s="1">
        <v>45900</v>
      </c>
      <c r="B1117" t="s">
        <v>370</v>
      </c>
      <c r="C1117" t="s">
        <v>10</v>
      </c>
      <c r="D1117" t="s">
        <v>28</v>
      </c>
      <c r="E1117" t="s">
        <v>17</v>
      </c>
      <c r="F1117" t="s">
        <v>13</v>
      </c>
      <c r="G1117">
        <v>188</v>
      </c>
      <c r="H1117">
        <v>75000</v>
      </c>
      <c r="I1117">
        <v>14100000</v>
      </c>
    </row>
    <row r="1118" spans="1:9" x14ac:dyDescent="0.3">
      <c r="A1118" s="1">
        <v>45816</v>
      </c>
      <c r="B1118" t="s">
        <v>603</v>
      </c>
      <c r="C1118" t="s">
        <v>53</v>
      </c>
      <c r="D1118" t="s">
        <v>124</v>
      </c>
      <c r="E1118" t="s">
        <v>26</v>
      </c>
      <c r="F1118" t="s">
        <v>13</v>
      </c>
      <c r="G1118">
        <v>188</v>
      </c>
      <c r="H1118">
        <v>65000</v>
      </c>
      <c r="I1118">
        <v>12220000</v>
      </c>
    </row>
    <row r="1119" spans="1:9" x14ac:dyDescent="0.3">
      <c r="A1119" s="1">
        <v>45872</v>
      </c>
      <c r="B1119" t="s">
        <v>828</v>
      </c>
      <c r="C1119" t="s">
        <v>15</v>
      </c>
      <c r="D1119" t="s">
        <v>40</v>
      </c>
      <c r="E1119" t="s">
        <v>41</v>
      </c>
      <c r="F1119" t="s">
        <v>18</v>
      </c>
      <c r="G1119">
        <v>188</v>
      </c>
      <c r="H1119">
        <v>120000</v>
      </c>
      <c r="I1119">
        <v>22560000</v>
      </c>
    </row>
    <row r="1120" spans="1:9" x14ac:dyDescent="0.3">
      <c r="A1120" s="1">
        <v>45971</v>
      </c>
      <c r="B1120" t="s">
        <v>958</v>
      </c>
      <c r="C1120" t="s">
        <v>15</v>
      </c>
      <c r="D1120" t="s">
        <v>99</v>
      </c>
      <c r="E1120" t="s">
        <v>32</v>
      </c>
      <c r="F1120" t="s">
        <v>18</v>
      </c>
      <c r="G1120">
        <v>188</v>
      </c>
      <c r="H1120">
        <v>120000</v>
      </c>
      <c r="I1120">
        <v>22560000</v>
      </c>
    </row>
    <row r="1121" spans="1:9" x14ac:dyDescent="0.3">
      <c r="A1121" s="1">
        <v>45776</v>
      </c>
      <c r="B1121" t="s">
        <v>1076</v>
      </c>
      <c r="C1121" t="s">
        <v>24</v>
      </c>
      <c r="D1121" t="s">
        <v>191</v>
      </c>
      <c r="E1121" t="s">
        <v>57</v>
      </c>
      <c r="F1121" t="s">
        <v>33</v>
      </c>
      <c r="G1121">
        <v>188</v>
      </c>
      <c r="H1121">
        <v>55000</v>
      </c>
      <c r="I1121">
        <v>10340000</v>
      </c>
    </row>
    <row r="1122" spans="1:9" x14ac:dyDescent="0.3">
      <c r="A1122" s="1">
        <v>45798</v>
      </c>
      <c r="B1122" t="s">
        <v>1105</v>
      </c>
      <c r="C1122" t="s">
        <v>15</v>
      </c>
      <c r="D1122" t="s">
        <v>40</v>
      </c>
      <c r="E1122" t="s">
        <v>41</v>
      </c>
      <c r="F1122" t="s">
        <v>22</v>
      </c>
      <c r="G1122">
        <v>188</v>
      </c>
      <c r="H1122">
        <v>120000</v>
      </c>
      <c r="I1122">
        <v>22560000</v>
      </c>
    </row>
    <row r="1123" spans="1:9" x14ac:dyDescent="0.3">
      <c r="A1123" s="1">
        <v>45704</v>
      </c>
      <c r="B1123" t="s">
        <v>1209</v>
      </c>
      <c r="C1123" t="s">
        <v>15</v>
      </c>
      <c r="D1123" t="s">
        <v>251</v>
      </c>
      <c r="E1123" t="s">
        <v>12</v>
      </c>
      <c r="F1123" t="s">
        <v>22</v>
      </c>
      <c r="G1123">
        <v>188</v>
      </c>
      <c r="H1123">
        <v>120000</v>
      </c>
      <c r="I1123">
        <v>22560000</v>
      </c>
    </row>
    <row r="1124" spans="1:9" x14ac:dyDescent="0.3">
      <c r="A1124" s="1">
        <v>45809</v>
      </c>
      <c r="B1124" t="s">
        <v>1246</v>
      </c>
      <c r="C1124" t="s">
        <v>10</v>
      </c>
      <c r="D1124" t="s">
        <v>95</v>
      </c>
      <c r="E1124" t="s">
        <v>26</v>
      </c>
      <c r="F1124" t="s">
        <v>13</v>
      </c>
      <c r="G1124">
        <v>188</v>
      </c>
      <c r="H1124">
        <v>75000</v>
      </c>
      <c r="I1124">
        <v>14100000</v>
      </c>
    </row>
    <row r="1125" spans="1:9" x14ac:dyDescent="0.3">
      <c r="A1125" s="1">
        <v>45699</v>
      </c>
      <c r="B1125" t="s">
        <v>236</v>
      </c>
      <c r="C1125" t="s">
        <v>53</v>
      </c>
      <c r="D1125" t="s">
        <v>56</v>
      </c>
      <c r="E1125" t="s">
        <v>57</v>
      </c>
      <c r="F1125" t="s">
        <v>33</v>
      </c>
      <c r="G1125">
        <v>189</v>
      </c>
      <c r="H1125">
        <v>65000</v>
      </c>
      <c r="I1125">
        <v>12285000</v>
      </c>
    </row>
    <row r="1126" spans="1:9" x14ac:dyDescent="0.3">
      <c r="A1126" s="1">
        <v>45770</v>
      </c>
      <c r="B1126" t="s">
        <v>246</v>
      </c>
      <c r="C1126" t="s">
        <v>53</v>
      </c>
      <c r="D1126" t="s">
        <v>47</v>
      </c>
      <c r="E1126" t="s">
        <v>41</v>
      </c>
      <c r="F1126" t="s">
        <v>29</v>
      </c>
      <c r="G1126">
        <v>189</v>
      </c>
      <c r="H1126">
        <v>65000</v>
      </c>
      <c r="I1126">
        <v>12285000</v>
      </c>
    </row>
    <row r="1127" spans="1:9" x14ac:dyDescent="0.3">
      <c r="A1127" s="1">
        <v>45780</v>
      </c>
      <c r="B1127" t="s">
        <v>361</v>
      </c>
      <c r="C1127" t="s">
        <v>15</v>
      </c>
      <c r="D1127" t="s">
        <v>93</v>
      </c>
      <c r="E1127" t="s">
        <v>41</v>
      </c>
      <c r="F1127" t="s">
        <v>18</v>
      </c>
      <c r="G1127">
        <v>189</v>
      </c>
      <c r="H1127">
        <v>120000</v>
      </c>
      <c r="I1127">
        <v>22680000</v>
      </c>
    </row>
    <row r="1128" spans="1:9" x14ac:dyDescent="0.3">
      <c r="A1128" s="1">
        <v>45780</v>
      </c>
      <c r="B1128" t="s">
        <v>534</v>
      </c>
      <c r="C1128" t="s">
        <v>15</v>
      </c>
      <c r="D1128" t="s">
        <v>83</v>
      </c>
      <c r="E1128" t="s">
        <v>21</v>
      </c>
      <c r="F1128" t="s">
        <v>18</v>
      </c>
      <c r="G1128">
        <v>189</v>
      </c>
      <c r="H1128">
        <v>120000</v>
      </c>
      <c r="I1128">
        <v>22680000</v>
      </c>
    </row>
    <row r="1129" spans="1:9" x14ac:dyDescent="0.3">
      <c r="A1129" s="1">
        <v>45972</v>
      </c>
      <c r="B1129" t="s">
        <v>769</v>
      </c>
      <c r="C1129" t="s">
        <v>15</v>
      </c>
      <c r="D1129" t="s">
        <v>136</v>
      </c>
      <c r="E1129" t="s">
        <v>36</v>
      </c>
      <c r="F1129" t="s">
        <v>13</v>
      </c>
      <c r="G1129">
        <v>189</v>
      </c>
      <c r="H1129">
        <v>120000</v>
      </c>
      <c r="I1129">
        <v>22680000</v>
      </c>
    </row>
    <row r="1130" spans="1:9" x14ac:dyDescent="0.3">
      <c r="A1130" s="1">
        <v>45781</v>
      </c>
      <c r="B1130" t="s">
        <v>1069</v>
      </c>
      <c r="C1130" t="s">
        <v>10</v>
      </c>
      <c r="D1130" t="s">
        <v>95</v>
      </c>
      <c r="E1130" t="s">
        <v>26</v>
      </c>
      <c r="F1130" t="s">
        <v>33</v>
      </c>
      <c r="G1130">
        <v>189</v>
      </c>
      <c r="H1130">
        <v>75000</v>
      </c>
      <c r="I1130">
        <v>14175000</v>
      </c>
    </row>
    <row r="1131" spans="1:9" x14ac:dyDescent="0.3">
      <c r="A1131" s="1">
        <v>45863</v>
      </c>
      <c r="B1131" t="s">
        <v>1119</v>
      </c>
      <c r="C1131" t="s">
        <v>15</v>
      </c>
      <c r="D1131" t="s">
        <v>119</v>
      </c>
      <c r="E1131" t="s">
        <v>36</v>
      </c>
      <c r="F1131" t="s">
        <v>13</v>
      </c>
      <c r="G1131">
        <v>189</v>
      </c>
      <c r="H1131">
        <v>120000</v>
      </c>
      <c r="I1131">
        <v>22680000</v>
      </c>
    </row>
    <row r="1132" spans="1:9" x14ac:dyDescent="0.3">
      <c r="A1132" s="1">
        <v>46001</v>
      </c>
      <c r="B1132" t="s">
        <v>74</v>
      </c>
      <c r="C1132" t="s">
        <v>53</v>
      </c>
      <c r="D1132" t="s">
        <v>31</v>
      </c>
      <c r="E1132" t="s">
        <v>32</v>
      </c>
      <c r="F1132" t="s">
        <v>18</v>
      </c>
      <c r="G1132">
        <v>190</v>
      </c>
      <c r="H1132">
        <v>65000</v>
      </c>
      <c r="I1132">
        <v>12350000</v>
      </c>
    </row>
    <row r="1133" spans="1:9" x14ac:dyDescent="0.3">
      <c r="A1133" s="1">
        <v>46006</v>
      </c>
      <c r="B1133" t="s">
        <v>237</v>
      </c>
      <c r="C1133" t="s">
        <v>53</v>
      </c>
      <c r="D1133" t="s">
        <v>124</v>
      </c>
      <c r="E1133" t="s">
        <v>26</v>
      </c>
      <c r="F1133" t="s">
        <v>22</v>
      </c>
      <c r="G1133">
        <v>190</v>
      </c>
      <c r="H1133">
        <v>65000</v>
      </c>
      <c r="I1133">
        <v>12350000</v>
      </c>
    </row>
    <row r="1134" spans="1:9" x14ac:dyDescent="0.3">
      <c r="A1134" s="1">
        <v>45917</v>
      </c>
      <c r="B1134" t="s">
        <v>475</v>
      </c>
      <c r="C1134" t="s">
        <v>15</v>
      </c>
      <c r="D1134" t="s">
        <v>95</v>
      </c>
      <c r="E1134" t="s">
        <v>26</v>
      </c>
      <c r="F1134" t="s">
        <v>13</v>
      </c>
      <c r="G1134">
        <v>190</v>
      </c>
      <c r="H1134">
        <v>120000</v>
      </c>
      <c r="I1134">
        <v>22800000</v>
      </c>
    </row>
    <row r="1135" spans="1:9" x14ac:dyDescent="0.3">
      <c r="A1135" s="1">
        <v>45731</v>
      </c>
      <c r="B1135" t="s">
        <v>662</v>
      </c>
      <c r="C1135" t="s">
        <v>53</v>
      </c>
      <c r="D1135" t="s">
        <v>86</v>
      </c>
      <c r="E1135" t="s">
        <v>12</v>
      </c>
      <c r="F1135" t="s">
        <v>22</v>
      </c>
      <c r="G1135">
        <v>190</v>
      </c>
      <c r="H1135">
        <v>65000</v>
      </c>
      <c r="I1135">
        <v>12350000</v>
      </c>
    </row>
    <row r="1136" spans="1:9" x14ac:dyDescent="0.3">
      <c r="A1136" s="1">
        <v>45950</v>
      </c>
      <c r="B1136" t="s">
        <v>697</v>
      </c>
      <c r="C1136" t="s">
        <v>24</v>
      </c>
      <c r="D1136" t="s">
        <v>93</v>
      </c>
      <c r="E1136" t="s">
        <v>41</v>
      </c>
      <c r="F1136" t="s">
        <v>18</v>
      </c>
      <c r="G1136">
        <v>190</v>
      </c>
      <c r="H1136">
        <v>55000</v>
      </c>
      <c r="I1136">
        <v>10450000</v>
      </c>
    </row>
    <row r="1137" spans="1:9" x14ac:dyDescent="0.3">
      <c r="A1137" s="1">
        <v>45962</v>
      </c>
      <c r="B1137" t="s">
        <v>866</v>
      </c>
      <c r="C1137" t="s">
        <v>53</v>
      </c>
      <c r="D1137" t="s">
        <v>35</v>
      </c>
      <c r="E1137" t="s">
        <v>36</v>
      </c>
      <c r="F1137" t="s">
        <v>29</v>
      </c>
      <c r="G1137">
        <v>190</v>
      </c>
      <c r="H1137">
        <v>65000</v>
      </c>
      <c r="I1137">
        <v>12350000</v>
      </c>
    </row>
    <row r="1138" spans="1:9" x14ac:dyDescent="0.3">
      <c r="A1138" s="1">
        <v>46017</v>
      </c>
      <c r="B1138" t="s">
        <v>968</v>
      </c>
      <c r="C1138" t="s">
        <v>24</v>
      </c>
      <c r="D1138" t="s">
        <v>11</v>
      </c>
      <c r="E1138" t="s">
        <v>12</v>
      </c>
      <c r="F1138" t="s">
        <v>18</v>
      </c>
      <c r="G1138">
        <v>190</v>
      </c>
      <c r="H1138">
        <v>55000</v>
      </c>
      <c r="I1138">
        <v>10450000</v>
      </c>
    </row>
    <row r="1139" spans="1:9" x14ac:dyDescent="0.3">
      <c r="A1139" s="1">
        <v>45953</v>
      </c>
      <c r="B1139" t="s">
        <v>1005</v>
      </c>
      <c r="C1139" t="s">
        <v>15</v>
      </c>
      <c r="D1139" t="s">
        <v>129</v>
      </c>
      <c r="E1139" t="s">
        <v>57</v>
      </c>
      <c r="F1139" t="s">
        <v>22</v>
      </c>
      <c r="G1139">
        <v>190</v>
      </c>
      <c r="H1139">
        <v>120000</v>
      </c>
      <c r="I1139">
        <v>22800000</v>
      </c>
    </row>
    <row r="1140" spans="1:9" x14ac:dyDescent="0.3">
      <c r="A1140" s="1">
        <v>45937</v>
      </c>
      <c r="B1140" t="s">
        <v>1181</v>
      </c>
      <c r="C1140" t="s">
        <v>24</v>
      </c>
      <c r="D1140" t="s">
        <v>141</v>
      </c>
      <c r="E1140" t="s">
        <v>21</v>
      </c>
      <c r="F1140" t="s">
        <v>22</v>
      </c>
      <c r="G1140">
        <v>190</v>
      </c>
      <c r="H1140">
        <v>55000</v>
      </c>
      <c r="I1140">
        <v>10450000</v>
      </c>
    </row>
    <row r="1141" spans="1:9" x14ac:dyDescent="0.3">
      <c r="A1141" s="1">
        <v>45764</v>
      </c>
      <c r="B1141" t="s">
        <v>1234</v>
      </c>
      <c r="C1141" t="s">
        <v>53</v>
      </c>
      <c r="D1141" t="s">
        <v>43</v>
      </c>
      <c r="E1141" t="s">
        <v>26</v>
      </c>
      <c r="F1141" t="s">
        <v>18</v>
      </c>
      <c r="G1141">
        <v>190</v>
      </c>
      <c r="H1141">
        <v>65000</v>
      </c>
      <c r="I1141">
        <v>12350000</v>
      </c>
    </row>
    <row r="1142" spans="1:9" x14ac:dyDescent="0.3">
      <c r="A1142" s="1">
        <v>45852</v>
      </c>
      <c r="B1142" t="s">
        <v>111</v>
      </c>
      <c r="C1142" t="s">
        <v>53</v>
      </c>
      <c r="D1142" t="s">
        <v>89</v>
      </c>
      <c r="E1142" t="s">
        <v>12</v>
      </c>
      <c r="F1142" t="s">
        <v>29</v>
      </c>
      <c r="G1142">
        <v>191</v>
      </c>
      <c r="H1142">
        <v>65000</v>
      </c>
      <c r="I1142">
        <v>12415000</v>
      </c>
    </row>
    <row r="1143" spans="1:9" x14ac:dyDescent="0.3">
      <c r="A1143" s="1">
        <v>45674</v>
      </c>
      <c r="B1143" t="s">
        <v>613</v>
      </c>
      <c r="C1143" t="s">
        <v>10</v>
      </c>
      <c r="D1143" t="s">
        <v>35</v>
      </c>
      <c r="E1143" t="s">
        <v>36</v>
      </c>
      <c r="F1143" t="s">
        <v>13</v>
      </c>
      <c r="G1143">
        <v>191</v>
      </c>
      <c r="H1143">
        <v>75000</v>
      </c>
      <c r="I1143">
        <v>14325000</v>
      </c>
    </row>
    <row r="1144" spans="1:9" x14ac:dyDescent="0.3">
      <c r="A1144" s="1">
        <v>45945</v>
      </c>
      <c r="B1144" t="s">
        <v>722</v>
      </c>
      <c r="C1144" t="s">
        <v>53</v>
      </c>
      <c r="D1144" t="s">
        <v>119</v>
      </c>
      <c r="E1144" t="s">
        <v>36</v>
      </c>
      <c r="F1144" t="s">
        <v>33</v>
      </c>
      <c r="G1144">
        <v>191</v>
      </c>
      <c r="H1144">
        <v>65000</v>
      </c>
      <c r="I1144">
        <v>12415000</v>
      </c>
    </row>
    <row r="1145" spans="1:9" x14ac:dyDescent="0.3">
      <c r="A1145" s="1">
        <v>45963</v>
      </c>
      <c r="B1145" t="s">
        <v>761</v>
      </c>
      <c r="C1145" t="s">
        <v>15</v>
      </c>
      <c r="D1145" t="s">
        <v>110</v>
      </c>
      <c r="E1145" t="s">
        <v>32</v>
      </c>
      <c r="F1145" t="s">
        <v>18</v>
      </c>
      <c r="G1145">
        <v>191</v>
      </c>
      <c r="H1145">
        <v>120000</v>
      </c>
      <c r="I1145">
        <v>22920000</v>
      </c>
    </row>
    <row r="1146" spans="1:9" x14ac:dyDescent="0.3">
      <c r="A1146" s="1">
        <v>45677</v>
      </c>
      <c r="B1146" t="s">
        <v>980</v>
      </c>
      <c r="C1146" t="s">
        <v>24</v>
      </c>
      <c r="D1146" t="s">
        <v>116</v>
      </c>
      <c r="E1146" t="s">
        <v>57</v>
      </c>
      <c r="F1146" t="s">
        <v>29</v>
      </c>
      <c r="G1146">
        <v>191</v>
      </c>
      <c r="H1146">
        <v>55000</v>
      </c>
      <c r="I1146">
        <v>10505000</v>
      </c>
    </row>
    <row r="1147" spans="1:9" x14ac:dyDescent="0.3">
      <c r="A1147" s="1">
        <v>46022</v>
      </c>
      <c r="B1147" t="s">
        <v>1000</v>
      </c>
      <c r="C1147" t="s">
        <v>10</v>
      </c>
      <c r="D1147" t="s">
        <v>61</v>
      </c>
      <c r="E1147" t="s">
        <v>17</v>
      </c>
      <c r="F1147" t="s">
        <v>29</v>
      </c>
      <c r="G1147">
        <v>191</v>
      </c>
      <c r="H1147">
        <v>75000</v>
      </c>
      <c r="I1147">
        <v>14325000</v>
      </c>
    </row>
    <row r="1148" spans="1:9" x14ac:dyDescent="0.3">
      <c r="A1148" s="1">
        <v>45869</v>
      </c>
      <c r="B1148" t="s">
        <v>1087</v>
      </c>
      <c r="C1148" t="s">
        <v>10</v>
      </c>
      <c r="D1148" t="s">
        <v>31</v>
      </c>
      <c r="E1148" t="s">
        <v>32</v>
      </c>
      <c r="F1148" t="s">
        <v>18</v>
      </c>
      <c r="G1148">
        <v>191</v>
      </c>
      <c r="H1148">
        <v>75000</v>
      </c>
      <c r="I1148">
        <v>14325000</v>
      </c>
    </row>
    <row r="1149" spans="1:9" x14ac:dyDescent="0.3">
      <c r="A1149" s="1">
        <v>45845</v>
      </c>
      <c r="B1149" t="s">
        <v>1149</v>
      </c>
      <c r="C1149" t="s">
        <v>53</v>
      </c>
      <c r="D1149" t="s">
        <v>305</v>
      </c>
      <c r="E1149" t="s">
        <v>32</v>
      </c>
      <c r="F1149" t="s">
        <v>13</v>
      </c>
      <c r="G1149">
        <v>191</v>
      </c>
      <c r="H1149">
        <v>65000</v>
      </c>
      <c r="I1149">
        <v>12415000</v>
      </c>
    </row>
    <row r="1150" spans="1:9" x14ac:dyDescent="0.3">
      <c r="A1150" s="1">
        <v>45958</v>
      </c>
      <c r="B1150" t="s">
        <v>1153</v>
      </c>
      <c r="C1150" t="s">
        <v>10</v>
      </c>
      <c r="D1150" t="s">
        <v>89</v>
      </c>
      <c r="E1150" t="s">
        <v>12</v>
      </c>
      <c r="F1150" t="s">
        <v>29</v>
      </c>
      <c r="G1150">
        <v>191</v>
      </c>
      <c r="H1150">
        <v>75000</v>
      </c>
      <c r="I1150">
        <v>14325000</v>
      </c>
    </row>
    <row r="1151" spans="1:9" x14ac:dyDescent="0.3">
      <c r="A1151" s="1">
        <v>45966</v>
      </c>
      <c r="B1151" t="s">
        <v>1223</v>
      </c>
      <c r="C1151" t="s">
        <v>15</v>
      </c>
      <c r="D1151" t="s">
        <v>121</v>
      </c>
      <c r="E1151" t="s">
        <v>32</v>
      </c>
      <c r="F1151" t="s">
        <v>13</v>
      </c>
      <c r="G1151">
        <v>191</v>
      </c>
      <c r="H1151">
        <v>120000</v>
      </c>
      <c r="I1151">
        <v>22920000</v>
      </c>
    </row>
    <row r="1152" spans="1:9" x14ac:dyDescent="0.3">
      <c r="A1152" s="1">
        <v>45905</v>
      </c>
      <c r="B1152" t="s">
        <v>230</v>
      </c>
      <c r="C1152" t="s">
        <v>10</v>
      </c>
      <c r="D1152" t="s">
        <v>91</v>
      </c>
      <c r="E1152" t="s">
        <v>17</v>
      </c>
      <c r="F1152" t="s">
        <v>29</v>
      </c>
      <c r="G1152">
        <v>192</v>
      </c>
      <c r="H1152">
        <v>75000</v>
      </c>
      <c r="I1152">
        <v>14400000</v>
      </c>
    </row>
    <row r="1153" spans="1:9" x14ac:dyDescent="0.3">
      <c r="A1153" s="1">
        <v>45865</v>
      </c>
      <c r="B1153" t="s">
        <v>357</v>
      </c>
      <c r="C1153" t="s">
        <v>24</v>
      </c>
      <c r="D1153" t="s">
        <v>116</v>
      </c>
      <c r="E1153" t="s">
        <v>57</v>
      </c>
      <c r="F1153" t="s">
        <v>18</v>
      </c>
      <c r="G1153">
        <v>192</v>
      </c>
      <c r="H1153">
        <v>55000</v>
      </c>
      <c r="I1153">
        <v>10560000</v>
      </c>
    </row>
    <row r="1154" spans="1:9" x14ac:dyDescent="0.3">
      <c r="A1154" s="1">
        <v>45757</v>
      </c>
      <c r="B1154" t="s">
        <v>400</v>
      </c>
      <c r="C1154" t="s">
        <v>10</v>
      </c>
      <c r="D1154" t="s">
        <v>63</v>
      </c>
      <c r="E1154" t="s">
        <v>32</v>
      </c>
      <c r="F1154" t="s">
        <v>18</v>
      </c>
      <c r="G1154">
        <v>192</v>
      </c>
      <c r="H1154">
        <v>75000</v>
      </c>
      <c r="I1154">
        <v>14400000</v>
      </c>
    </row>
    <row r="1155" spans="1:9" x14ac:dyDescent="0.3">
      <c r="A1155" s="1">
        <v>45949</v>
      </c>
      <c r="B1155" t="s">
        <v>594</v>
      </c>
      <c r="C1155" t="s">
        <v>53</v>
      </c>
      <c r="D1155" t="s">
        <v>201</v>
      </c>
      <c r="E1155" t="s">
        <v>21</v>
      </c>
      <c r="F1155" t="s">
        <v>29</v>
      </c>
      <c r="G1155">
        <v>192</v>
      </c>
      <c r="H1155">
        <v>65000</v>
      </c>
      <c r="I1155">
        <v>12480000</v>
      </c>
    </row>
    <row r="1156" spans="1:9" x14ac:dyDescent="0.3">
      <c r="A1156" s="1">
        <v>45747</v>
      </c>
      <c r="B1156" t="s">
        <v>710</v>
      </c>
      <c r="C1156" t="s">
        <v>24</v>
      </c>
      <c r="D1156" t="s">
        <v>31</v>
      </c>
      <c r="E1156" t="s">
        <v>32</v>
      </c>
      <c r="F1156" t="s">
        <v>22</v>
      </c>
      <c r="G1156">
        <v>192</v>
      </c>
      <c r="H1156">
        <v>55000</v>
      </c>
      <c r="I1156">
        <v>10560000</v>
      </c>
    </row>
    <row r="1157" spans="1:9" x14ac:dyDescent="0.3">
      <c r="A1157" s="1">
        <v>45947</v>
      </c>
      <c r="B1157" t="s">
        <v>729</v>
      </c>
      <c r="C1157" t="s">
        <v>10</v>
      </c>
      <c r="D1157" t="s">
        <v>83</v>
      </c>
      <c r="E1157" t="s">
        <v>21</v>
      </c>
      <c r="F1157" t="s">
        <v>22</v>
      </c>
      <c r="G1157">
        <v>192</v>
      </c>
      <c r="H1157">
        <v>75000</v>
      </c>
      <c r="I1157">
        <v>14400000</v>
      </c>
    </row>
    <row r="1158" spans="1:9" x14ac:dyDescent="0.3">
      <c r="A1158" s="1">
        <v>45946</v>
      </c>
      <c r="B1158" t="s">
        <v>789</v>
      </c>
      <c r="C1158" t="s">
        <v>10</v>
      </c>
      <c r="D1158" t="s">
        <v>49</v>
      </c>
      <c r="E1158" t="s">
        <v>26</v>
      </c>
      <c r="F1158" t="s">
        <v>29</v>
      </c>
      <c r="G1158">
        <v>192</v>
      </c>
      <c r="H1158">
        <v>75000</v>
      </c>
      <c r="I1158">
        <v>14400000</v>
      </c>
    </row>
    <row r="1159" spans="1:9" x14ac:dyDescent="0.3">
      <c r="A1159" s="1">
        <v>45682</v>
      </c>
      <c r="B1159" t="s">
        <v>904</v>
      </c>
      <c r="C1159" t="s">
        <v>10</v>
      </c>
      <c r="D1159" t="s">
        <v>124</v>
      </c>
      <c r="E1159" t="s">
        <v>26</v>
      </c>
      <c r="F1159" t="s">
        <v>13</v>
      </c>
      <c r="G1159">
        <v>192</v>
      </c>
      <c r="H1159">
        <v>75000</v>
      </c>
      <c r="I1159">
        <v>14400000</v>
      </c>
    </row>
    <row r="1160" spans="1:9" x14ac:dyDescent="0.3">
      <c r="A1160" s="1">
        <v>45960</v>
      </c>
      <c r="B1160" t="s">
        <v>1257</v>
      </c>
      <c r="C1160" t="s">
        <v>10</v>
      </c>
      <c r="D1160" t="s">
        <v>116</v>
      </c>
      <c r="E1160" t="s">
        <v>57</v>
      </c>
      <c r="F1160" t="s">
        <v>13</v>
      </c>
      <c r="G1160">
        <v>192</v>
      </c>
      <c r="H1160">
        <v>75000</v>
      </c>
      <c r="I1160">
        <v>14400000</v>
      </c>
    </row>
    <row r="1161" spans="1:9" x14ac:dyDescent="0.3">
      <c r="A1161" s="1">
        <v>45902</v>
      </c>
      <c r="B1161" t="s">
        <v>418</v>
      </c>
      <c r="C1161" t="s">
        <v>53</v>
      </c>
      <c r="D1161" t="s">
        <v>61</v>
      </c>
      <c r="E1161" t="s">
        <v>17</v>
      </c>
      <c r="F1161" t="s">
        <v>18</v>
      </c>
      <c r="G1161">
        <v>193</v>
      </c>
      <c r="H1161">
        <v>65000</v>
      </c>
      <c r="I1161">
        <v>12545000</v>
      </c>
    </row>
    <row r="1162" spans="1:9" x14ac:dyDescent="0.3">
      <c r="A1162" s="1">
        <v>45843</v>
      </c>
      <c r="B1162" t="s">
        <v>424</v>
      </c>
      <c r="C1162" t="s">
        <v>53</v>
      </c>
      <c r="D1162" t="s">
        <v>86</v>
      </c>
      <c r="E1162" t="s">
        <v>12</v>
      </c>
      <c r="F1162" t="s">
        <v>29</v>
      </c>
      <c r="G1162">
        <v>193</v>
      </c>
      <c r="H1162">
        <v>65000</v>
      </c>
      <c r="I1162">
        <v>12545000</v>
      </c>
    </row>
    <row r="1163" spans="1:9" x14ac:dyDescent="0.3">
      <c r="A1163" s="1">
        <v>46012</v>
      </c>
      <c r="B1163" t="s">
        <v>578</v>
      </c>
      <c r="C1163" t="s">
        <v>10</v>
      </c>
      <c r="D1163" t="s">
        <v>251</v>
      </c>
      <c r="E1163" t="s">
        <v>12</v>
      </c>
      <c r="F1163" t="s">
        <v>29</v>
      </c>
      <c r="G1163">
        <v>193</v>
      </c>
      <c r="H1163">
        <v>75000</v>
      </c>
      <c r="I1163">
        <v>14475000</v>
      </c>
    </row>
    <row r="1164" spans="1:9" x14ac:dyDescent="0.3">
      <c r="A1164" s="1">
        <v>45792</v>
      </c>
      <c r="B1164" t="s">
        <v>728</v>
      </c>
      <c r="C1164" t="s">
        <v>10</v>
      </c>
      <c r="D1164" t="s">
        <v>56</v>
      </c>
      <c r="E1164" t="s">
        <v>57</v>
      </c>
      <c r="F1164" t="s">
        <v>22</v>
      </c>
      <c r="G1164">
        <v>193</v>
      </c>
      <c r="H1164">
        <v>75000</v>
      </c>
      <c r="I1164">
        <v>14475000</v>
      </c>
    </row>
    <row r="1165" spans="1:9" x14ac:dyDescent="0.3">
      <c r="A1165" s="1">
        <v>45725</v>
      </c>
      <c r="B1165" t="s">
        <v>232</v>
      </c>
      <c r="C1165" t="s">
        <v>24</v>
      </c>
      <c r="D1165" t="s">
        <v>20</v>
      </c>
      <c r="E1165" t="s">
        <v>21</v>
      </c>
      <c r="F1165" t="s">
        <v>13</v>
      </c>
      <c r="G1165">
        <v>194</v>
      </c>
      <c r="H1165">
        <v>55000</v>
      </c>
      <c r="I1165">
        <v>10670000</v>
      </c>
    </row>
    <row r="1166" spans="1:9" x14ac:dyDescent="0.3">
      <c r="A1166" s="1">
        <v>45786</v>
      </c>
      <c r="B1166" t="s">
        <v>684</v>
      </c>
      <c r="C1166" t="s">
        <v>15</v>
      </c>
      <c r="D1166" t="s">
        <v>136</v>
      </c>
      <c r="E1166" t="s">
        <v>36</v>
      </c>
      <c r="F1166" t="s">
        <v>22</v>
      </c>
      <c r="G1166">
        <v>194</v>
      </c>
      <c r="H1166">
        <v>120000</v>
      </c>
      <c r="I1166">
        <v>23280000</v>
      </c>
    </row>
    <row r="1167" spans="1:9" x14ac:dyDescent="0.3">
      <c r="A1167" s="1">
        <v>46005</v>
      </c>
      <c r="B1167" t="s">
        <v>698</v>
      </c>
      <c r="C1167" t="s">
        <v>10</v>
      </c>
      <c r="D1167" t="s">
        <v>61</v>
      </c>
      <c r="E1167" t="s">
        <v>17</v>
      </c>
      <c r="F1167" t="s">
        <v>22</v>
      </c>
      <c r="G1167">
        <v>194</v>
      </c>
      <c r="H1167">
        <v>75000</v>
      </c>
      <c r="I1167">
        <v>14550000</v>
      </c>
    </row>
    <row r="1168" spans="1:9" x14ac:dyDescent="0.3">
      <c r="A1168" s="1">
        <v>45770</v>
      </c>
      <c r="B1168" t="s">
        <v>900</v>
      </c>
      <c r="C1168" t="s">
        <v>15</v>
      </c>
      <c r="D1168" t="s">
        <v>93</v>
      </c>
      <c r="E1168" t="s">
        <v>41</v>
      </c>
      <c r="F1168" t="s">
        <v>29</v>
      </c>
      <c r="G1168">
        <v>194</v>
      </c>
      <c r="H1168">
        <v>120000</v>
      </c>
      <c r="I1168">
        <v>23280000</v>
      </c>
    </row>
    <row r="1169" spans="1:9" x14ac:dyDescent="0.3">
      <c r="A1169" s="1">
        <v>45788</v>
      </c>
      <c r="B1169" t="s">
        <v>1020</v>
      </c>
      <c r="C1169" t="s">
        <v>15</v>
      </c>
      <c r="D1169" t="s">
        <v>31</v>
      </c>
      <c r="E1169" t="s">
        <v>32</v>
      </c>
      <c r="F1169" t="s">
        <v>29</v>
      </c>
      <c r="G1169">
        <v>194</v>
      </c>
      <c r="H1169">
        <v>120000</v>
      </c>
      <c r="I1169">
        <v>23280000</v>
      </c>
    </row>
    <row r="1170" spans="1:9" x14ac:dyDescent="0.3">
      <c r="A1170" s="1">
        <v>46018</v>
      </c>
      <c r="B1170" t="s">
        <v>1026</v>
      </c>
      <c r="C1170" t="s">
        <v>24</v>
      </c>
      <c r="D1170" t="s">
        <v>191</v>
      </c>
      <c r="E1170" t="s">
        <v>57</v>
      </c>
      <c r="F1170" t="s">
        <v>22</v>
      </c>
      <c r="G1170">
        <v>194</v>
      </c>
      <c r="H1170">
        <v>55000</v>
      </c>
      <c r="I1170">
        <v>10670000</v>
      </c>
    </row>
    <row r="1171" spans="1:9" x14ac:dyDescent="0.3">
      <c r="A1171" s="1">
        <v>45758</v>
      </c>
      <c r="B1171" t="s">
        <v>1273</v>
      </c>
      <c r="C1171" t="s">
        <v>53</v>
      </c>
      <c r="D1171" t="s">
        <v>20</v>
      </c>
      <c r="E1171" t="s">
        <v>21</v>
      </c>
      <c r="F1171" t="s">
        <v>18</v>
      </c>
      <c r="G1171">
        <v>194</v>
      </c>
      <c r="H1171">
        <v>65000</v>
      </c>
      <c r="I1171">
        <v>12610000</v>
      </c>
    </row>
    <row r="1172" spans="1:9" x14ac:dyDescent="0.3">
      <c r="A1172" s="1">
        <v>45858</v>
      </c>
      <c r="B1172" t="s">
        <v>120</v>
      </c>
      <c r="C1172" t="s">
        <v>10</v>
      </c>
      <c r="D1172" t="s">
        <v>121</v>
      </c>
      <c r="E1172" t="s">
        <v>32</v>
      </c>
      <c r="F1172" t="s">
        <v>13</v>
      </c>
      <c r="G1172">
        <v>195</v>
      </c>
      <c r="H1172">
        <v>75000</v>
      </c>
      <c r="I1172">
        <v>14625000</v>
      </c>
    </row>
    <row r="1173" spans="1:9" x14ac:dyDescent="0.3">
      <c r="A1173" s="1">
        <v>45686</v>
      </c>
      <c r="B1173" t="s">
        <v>405</v>
      </c>
      <c r="C1173" t="s">
        <v>15</v>
      </c>
      <c r="D1173" t="s">
        <v>65</v>
      </c>
      <c r="E1173" t="s">
        <v>21</v>
      </c>
      <c r="F1173" t="s">
        <v>22</v>
      </c>
      <c r="G1173">
        <v>195</v>
      </c>
      <c r="H1173">
        <v>120000</v>
      </c>
      <c r="I1173">
        <v>23400000</v>
      </c>
    </row>
    <row r="1174" spans="1:9" x14ac:dyDescent="0.3">
      <c r="A1174" s="1">
        <v>45949</v>
      </c>
      <c r="B1174" t="s">
        <v>567</v>
      </c>
      <c r="C1174" t="s">
        <v>53</v>
      </c>
      <c r="D1174" t="s">
        <v>124</v>
      </c>
      <c r="E1174" t="s">
        <v>26</v>
      </c>
      <c r="F1174" t="s">
        <v>29</v>
      </c>
      <c r="G1174">
        <v>195</v>
      </c>
      <c r="H1174">
        <v>65000</v>
      </c>
      <c r="I1174">
        <v>12675000</v>
      </c>
    </row>
    <row r="1175" spans="1:9" x14ac:dyDescent="0.3">
      <c r="A1175" s="1">
        <v>45830</v>
      </c>
      <c r="B1175" t="s">
        <v>1249</v>
      </c>
      <c r="C1175" t="s">
        <v>10</v>
      </c>
      <c r="D1175" t="s">
        <v>59</v>
      </c>
      <c r="E1175" t="s">
        <v>41</v>
      </c>
      <c r="F1175" t="s">
        <v>13</v>
      </c>
      <c r="G1175">
        <v>195</v>
      </c>
      <c r="H1175">
        <v>75000</v>
      </c>
      <c r="I1175">
        <v>14625000</v>
      </c>
    </row>
    <row r="1176" spans="1:9" x14ac:dyDescent="0.3">
      <c r="A1176" s="1">
        <v>45667</v>
      </c>
      <c r="B1176" t="s">
        <v>204</v>
      </c>
      <c r="C1176" t="s">
        <v>10</v>
      </c>
      <c r="D1176" t="s">
        <v>83</v>
      </c>
      <c r="E1176" t="s">
        <v>21</v>
      </c>
      <c r="F1176" t="s">
        <v>18</v>
      </c>
      <c r="G1176">
        <v>196</v>
      </c>
      <c r="H1176">
        <v>75000</v>
      </c>
      <c r="I1176">
        <v>14700000</v>
      </c>
    </row>
    <row r="1177" spans="1:9" x14ac:dyDescent="0.3">
      <c r="A1177" s="1">
        <v>45887</v>
      </c>
      <c r="B1177" t="s">
        <v>297</v>
      </c>
      <c r="C1177" t="s">
        <v>24</v>
      </c>
      <c r="D1177" t="s">
        <v>86</v>
      </c>
      <c r="E1177" t="s">
        <v>12</v>
      </c>
      <c r="F1177" t="s">
        <v>22</v>
      </c>
      <c r="G1177">
        <v>196</v>
      </c>
      <c r="H1177">
        <v>55000</v>
      </c>
      <c r="I1177">
        <v>10780000</v>
      </c>
    </row>
    <row r="1178" spans="1:9" x14ac:dyDescent="0.3">
      <c r="A1178" s="1">
        <v>45996</v>
      </c>
      <c r="B1178" t="s">
        <v>166</v>
      </c>
      <c r="C1178" t="s">
        <v>53</v>
      </c>
      <c r="D1178" t="s">
        <v>89</v>
      </c>
      <c r="E1178" t="s">
        <v>12</v>
      </c>
      <c r="F1178" t="s">
        <v>13</v>
      </c>
      <c r="G1178">
        <v>197</v>
      </c>
      <c r="H1178">
        <v>65000</v>
      </c>
      <c r="I1178">
        <v>12805000</v>
      </c>
    </row>
    <row r="1179" spans="1:9" x14ac:dyDescent="0.3">
      <c r="A1179" s="1">
        <v>45835</v>
      </c>
      <c r="B1179" t="s">
        <v>240</v>
      </c>
      <c r="C1179" t="s">
        <v>53</v>
      </c>
      <c r="D1179" t="s">
        <v>65</v>
      </c>
      <c r="E1179" t="s">
        <v>21</v>
      </c>
      <c r="F1179" t="s">
        <v>29</v>
      </c>
      <c r="G1179">
        <v>197</v>
      </c>
      <c r="H1179">
        <v>65000</v>
      </c>
      <c r="I1179">
        <v>12805000</v>
      </c>
    </row>
    <row r="1180" spans="1:9" x14ac:dyDescent="0.3">
      <c r="A1180" s="1">
        <v>45892</v>
      </c>
      <c r="B1180" t="s">
        <v>271</v>
      </c>
      <c r="C1180" t="s">
        <v>24</v>
      </c>
      <c r="D1180" t="s">
        <v>99</v>
      </c>
      <c r="E1180" t="s">
        <v>32</v>
      </c>
      <c r="F1180" t="s">
        <v>18</v>
      </c>
      <c r="G1180">
        <v>197</v>
      </c>
      <c r="H1180">
        <v>55000</v>
      </c>
      <c r="I1180">
        <v>10835000</v>
      </c>
    </row>
    <row r="1181" spans="1:9" x14ac:dyDescent="0.3">
      <c r="A1181" s="1">
        <v>45903</v>
      </c>
      <c r="B1181" t="s">
        <v>451</v>
      </c>
      <c r="C1181" t="s">
        <v>15</v>
      </c>
      <c r="D1181" t="s">
        <v>49</v>
      </c>
      <c r="E1181" t="s">
        <v>26</v>
      </c>
      <c r="F1181" t="s">
        <v>18</v>
      </c>
      <c r="G1181">
        <v>197</v>
      </c>
      <c r="H1181">
        <v>120000</v>
      </c>
      <c r="I1181">
        <v>23640000</v>
      </c>
    </row>
    <row r="1182" spans="1:9" x14ac:dyDescent="0.3">
      <c r="A1182" s="1">
        <v>45679</v>
      </c>
      <c r="B1182" t="s">
        <v>652</v>
      </c>
      <c r="C1182" t="s">
        <v>10</v>
      </c>
      <c r="D1182" t="s">
        <v>79</v>
      </c>
      <c r="E1182" t="s">
        <v>36</v>
      </c>
      <c r="F1182" t="s">
        <v>18</v>
      </c>
      <c r="G1182">
        <v>197</v>
      </c>
      <c r="H1182">
        <v>75000</v>
      </c>
      <c r="I1182">
        <v>14775000</v>
      </c>
    </row>
    <row r="1183" spans="1:9" x14ac:dyDescent="0.3">
      <c r="A1183" s="1">
        <v>45759</v>
      </c>
      <c r="B1183" t="s">
        <v>1031</v>
      </c>
      <c r="C1183" t="s">
        <v>10</v>
      </c>
      <c r="D1183" t="s">
        <v>51</v>
      </c>
      <c r="E1183" t="s">
        <v>36</v>
      </c>
      <c r="F1183" t="s">
        <v>33</v>
      </c>
      <c r="G1183">
        <v>197</v>
      </c>
      <c r="H1183">
        <v>75000</v>
      </c>
      <c r="I1183">
        <v>14775000</v>
      </c>
    </row>
    <row r="1184" spans="1:9" x14ac:dyDescent="0.3">
      <c r="A1184" s="1">
        <v>46015</v>
      </c>
      <c r="B1184" t="s">
        <v>1072</v>
      </c>
      <c r="C1184" t="s">
        <v>10</v>
      </c>
      <c r="D1184" t="s">
        <v>38</v>
      </c>
      <c r="E1184" t="s">
        <v>17</v>
      </c>
      <c r="F1184" t="s">
        <v>29</v>
      </c>
      <c r="G1184">
        <v>197</v>
      </c>
      <c r="H1184">
        <v>75000</v>
      </c>
      <c r="I1184">
        <v>14775000</v>
      </c>
    </row>
    <row r="1185" spans="1:9" x14ac:dyDescent="0.3">
      <c r="A1185" s="1">
        <v>45678</v>
      </c>
      <c r="B1185" t="s">
        <v>118</v>
      </c>
      <c r="C1185" t="s">
        <v>15</v>
      </c>
      <c r="D1185" t="s">
        <v>119</v>
      </c>
      <c r="E1185" t="s">
        <v>36</v>
      </c>
      <c r="F1185" t="s">
        <v>29</v>
      </c>
      <c r="G1185">
        <v>198</v>
      </c>
      <c r="H1185">
        <v>120000</v>
      </c>
      <c r="I1185">
        <v>23760000</v>
      </c>
    </row>
    <row r="1186" spans="1:9" x14ac:dyDescent="0.3">
      <c r="A1186" s="1">
        <v>45708</v>
      </c>
      <c r="B1186" t="s">
        <v>219</v>
      </c>
      <c r="C1186" t="s">
        <v>53</v>
      </c>
      <c r="D1186" t="s">
        <v>68</v>
      </c>
      <c r="E1186" t="s">
        <v>21</v>
      </c>
      <c r="F1186" t="s">
        <v>18</v>
      </c>
      <c r="G1186">
        <v>198</v>
      </c>
      <c r="H1186">
        <v>65000</v>
      </c>
      <c r="I1186">
        <v>12870000</v>
      </c>
    </row>
    <row r="1187" spans="1:9" x14ac:dyDescent="0.3">
      <c r="A1187" s="1">
        <v>45743</v>
      </c>
      <c r="B1187" t="s">
        <v>265</v>
      </c>
      <c r="C1187" t="s">
        <v>53</v>
      </c>
      <c r="D1187" t="s">
        <v>152</v>
      </c>
      <c r="E1187" t="s">
        <v>36</v>
      </c>
      <c r="F1187" t="s">
        <v>18</v>
      </c>
      <c r="G1187">
        <v>198</v>
      </c>
      <c r="H1187">
        <v>65000</v>
      </c>
      <c r="I1187">
        <v>12870000</v>
      </c>
    </row>
    <row r="1188" spans="1:9" x14ac:dyDescent="0.3">
      <c r="A1188" s="1">
        <v>45956</v>
      </c>
      <c r="B1188" t="s">
        <v>504</v>
      </c>
      <c r="C1188" t="s">
        <v>53</v>
      </c>
      <c r="D1188" t="s">
        <v>25</v>
      </c>
      <c r="E1188" t="s">
        <v>26</v>
      </c>
      <c r="F1188" t="s">
        <v>33</v>
      </c>
      <c r="G1188">
        <v>198</v>
      </c>
      <c r="H1188">
        <v>65000</v>
      </c>
      <c r="I1188">
        <v>12870000</v>
      </c>
    </row>
    <row r="1189" spans="1:9" x14ac:dyDescent="0.3">
      <c r="A1189" s="1">
        <v>45881</v>
      </c>
      <c r="B1189" t="s">
        <v>631</v>
      </c>
      <c r="C1189" t="s">
        <v>53</v>
      </c>
      <c r="D1189" t="s">
        <v>116</v>
      </c>
      <c r="E1189" t="s">
        <v>57</v>
      </c>
      <c r="F1189" t="s">
        <v>29</v>
      </c>
      <c r="G1189">
        <v>198</v>
      </c>
      <c r="H1189">
        <v>65000</v>
      </c>
      <c r="I1189">
        <v>12870000</v>
      </c>
    </row>
    <row r="1190" spans="1:9" x14ac:dyDescent="0.3">
      <c r="A1190" s="1">
        <v>45919</v>
      </c>
      <c r="B1190" t="s">
        <v>700</v>
      </c>
      <c r="C1190" t="s">
        <v>24</v>
      </c>
      <c r="D1190" t="s">
        <v>119</v>
      </c>
      <c r="E1190" t="s">
        <v>36</v>
      </c>
      <c r="F1190" t="s">
        <v>13</v>
      </c>
      <c r="G1190">
        <v>198</v>
      </c>
      <c r="H1190">
        <v>55000</v>
      </c>
      <c r="I1190">
        <v>10890000</v>
      </c>
    </row>
    <row r="1191" spans="1:9" x14ac:dyDescent="0.3">
      <c r="A1191" s="1">
        <v>45985</v>
      </c>
      <c r="B1191" t="s">
        <v>833</v>
      </c>
      <c r="C1191" t="s">
        <v>53</v>
      </c>
      <c r="D1191" t="s">
        <v>59</v>
      </c>
      <c r="E1191" t="s">
        <v>41</v>
      </c>
      <c r="F1191" t="s">
        <v>22</v>
      </c>
      <c r="G1191">
        <v>198</v>
      </c>
      <c r="H1191">
        <v>65000</v>
      </c>
      <c r="I1191">
        <v>12870000</v>
      </c>
    </row>
    <row r="1192" spans="1:9" x14ac:dyDescent="0.3">
      <c r="A1192" s="1">
        <v>45864</v>
      </c>
      <c r="B1192" t="s">
        <v>731</v>
      </c>
      <c r="C1192" t="s">
        <v>15</v>
      </c>
      <c r="D1192" t="s">
        <v>54</v>
      </c>
      <c r="E1192" t="s">
        <v>21</v>
      </c>
      <c r="F1192" t="s">
        <v>18</v>
      </c>
      <c r="G1192">
        <v>199</v>
      </c>
      <c r="H1192">
        <v>120000</v>
      </c>
      <c r="I1192">
        <v>23880000</v>
      </c>
    </row>
    <row r="1193" spans="1:9" x14ac:dyDescent="0.3">
      <c r="A1193" s="1">
        <v>45874</v>
      </c>
      <c r="B1193" t="s">
        <v>1198</v>
      </c>
      <c r="C1193" t="s">
        <v>53</v>
      </c>
      <c r="D1193" t="s">
        <v>79</v>
      </c>
      <c r="E1193" t="s">
        <v>36</v>
      </c>
      <c r="F1193" t="s">
        <v>33</v>
      </c>
      <c r="G1193">
        <v>199</v>
      </c>
      <c r="H1193">
        <v>65000</v>
      </c>
      <c r="I1193">
        <v>12935000</v>
      </c>
    </row>
    <row r="1194" spans="1:9" x14ac:dyDescent="0.3">
      <c r="A1194" s="1">
        <v>45906</v>
      </c>
      <c r="B1194" t="s">
        <v>85</v>
      </c>
      <c r="C1194" t="s">
        <v>15</v>
      </c>
      <c r="D1194" t="s">
        <v>86</v>
      </c>
      <c r="E1194" t="s">
        <v>12</v>
      </c>
      <c r="F1194" t="s">
        <v>29</v>
      </c>
      <c r="G1194">
        <v>200</v>
      </c>
      <c r="H1194">
        <v>120000</v>
      </c>
      <c r="I1194">
        <v>24000000</v>
      </c>
    </row>
    <row r="1195" spans="1:9" x14ac:dyDescent="0.3">
      <c r="A1195" s="1">
        <v>45932</v>
      </c>
      <c r="B1195" t="s">
        <v>208</v>
      </c>
      <c r="C1195" t="s">
        <v>24</v>
      </c>
      <c r="D1195" t="s">
        <v>59</v>
      </c>
      <c r="E1195" t="s">
        <v>41</v>
      </c>
      <c r="F1195" t="s">
        <v>22</v>
      </c>
      <c r="G1195">
        <v>200</v>
      </c>
      <c r="H1195">
        <v>55000</v>
      </c>
      <c r="I1195">
        <v>11000000</v>
      </c>
    </row>
    <row r="1196" spans="1:9" x14ac:dyDescent="0.3">
      <c r="A1196" s="1">
        <v>45868</v>
      </c>
      <c r="B1196" t="s">
        <v>247</v>
      </c>
      <c r="C1196" t="s">
        <v>15</v>
      </c>
      <c r="D1196" t="s">
        <v>65</v>
      </c>
      <c r="E1196" t="s">
        <v>21</v>
      </c>
      <c r="F1196" t="s">
        <v>29</v>
      </c>
      <c r="G1196">
        <v>200</v>
      </c>
      <c r="H1196">
        <v>120000</v>
      </c>
      <c r="I1196">
        <v>24000000</v>
      </c>
    </row>
    <row r="1197" spans="1:9" x14ac:dyDescent="0.3">
      <c r="A1197" s="1">
        <v>45743</v>
      </c>
      <c r="B1197" t="s">
        <v>427</v>
      </c>
      <c r="C1197" t="s">
        <v>53</v>
      </c>
      <c r="D1197" t="s">
        <v>38</v>
      </c>
      <c r="E1197" t="s">
        <v>17</v>
      </c>
      <c r="F1197" t="s">
        <v>18</v>
      </c>
      <c r="G1197">
        <v>200</v>
      </c>
      <c r="H1197">
        <v>65000</v>
      </c>
      <c r="I1197">
        <v>13000000</v>
      </c>
    </row>
    <row r="1198" spans="1:9" x14ac:dyDescent="0.3">
      <c r="A1198" s="1">
        <v>45858</v>
      </c>
      <c r="B1198" t="s">
        <v>444</v>
      </c>
      <c r="C1198" t="s">
        <v>15</v>
      </c>
      <c r="D1198" t="s">
        <v>89</v>
      </c>
      <c r="E1198" t="s">
        <v>12</v>
      </c>
      <c r="F1198" t="s">
        <v>18</v>
      </c>
      <c r="G1198">
        <v>200</v>
      </c>
      <c r="H1198">
        <v>120000</v>
      </c>
      <c r="I1198">
        <v>24000000</v>
      </c>
    </row>
    <row r="1199" spans="1:9" x14ac:dyDescent="0.3">
      <c r="A1199" s="1">
        <v>45859</v>
      </c>
      <c r="B1199" t="s">
        <v>571</v>
      </c>
      <c r="C1199" t="s">
        <v>53</v>
      </c>
      <c r="D1199" t="s">
        <v>136</v>
      </c>
      <c r="E1199" t="s">
        <v>36</v>
      </c>
      <c r="F1199" t="s">
        <v>22</v>
      </c>
      <c r="G1199">
        <v>200</v>
      </c>
      <c r="H1199">
        <v>65000</v>
      </c>
      <c r="I1199">
        <v>13000000</v>
      </c>
    </row>
    <row r="1200" spans="1:9" x14ac:dyDescent="0.3">
      <c r="A1200" s="1">
        <v>45814</v>
      </c>
      <c r="B1200" t="s">
        <v>642</v>
      </c>
      <c r="C1200" t="s">
        <v>10</v>
      </c>
      <c r="D1200" t="s">
        <v>31</v>
      </c>
      <c r="E1200" t="s">
        <v>32</v>
      </c>
      <c r="F1200" t="s">
        <v>29</v>
      </c>
      <c r="G1200">
        <v>200</v>
      </c>
      <c r="H1200">
        <v>75000</v>
      </c>
      <c r="I1200">
        <v>15000000</v>
      </c>
    </row>
    <row r="1201" spans="1:9" x14ac:dyDescent="0.3">
      <c r="A1201" s="1">
        <v>45833</v>
      </c>
      <c r="B1201" t="s">
        <v>895</v>
      </c>
      <c r="C1201" t="s">
        <v>53</v>
      </c>
      <c r="D1201" t="s">
        <v>49</v>
      </c>
      <c r="E1201" t="s">
        <v>26</v>
      </c>
      <c r="F1201" t="s">
        <v>29</v>
      </c>
      <c r="G1201">
        <v>200</v>
      </c>
      <c r="H1201">
        <v>65000</v>
      </c>
      <c r="I1201">
        <v>13000000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1"/>
  <sheetViews>
    <sheetView topLeftCell="A34" workbookViewId="0">
      <selection activeCell="D56" sqref="D56"/>
    </sheetView>
  </sheetViews>
  <sheetFormatPr defaultRowHeight="14.4" x14ac:dyDescent="0.3"/>
  <cols>
    <col min="2" max="2" width="10.88671875" customWidth="1"/>
    <col min="3" max="3" width="26.33203125" customWidth="1"/>
  </cols>
  <sheetData>
    <row r="1" spans="1:3" x14ac:dyDescent="0.3">
      <c r="A1" t="s">
        <v>1340</v>
      </c>
      <c r="B1" t="s">
        <v>5</v>
      </c>
      <c r="C1" t="s">
        <v>1341</v>
      </c>
    </row>
    <row r="2" spans="1:3" x14ac:dyDescent="0.3">
      <c r="A2" t="s">
        <v>1342</v>
      </c>
      <c r="B2" t="s">
        <v>18</v>
      </c>
      <c r="C2">
        <v>489501094</v>
      </c>
    </row>
    <row r="3" spans="1:3" x14ac:dyDescent="0.3">
      <c r="A3" t="s">
        <v>1342</v>
      </c>
      <c r="B3" t="s">
        <v>22</v>
      </c>
      <c r="C3">
        <v>586356936</v>
      </c>
    </row>
    <row r="4" spans="1:3" x14ac:dyDescent="0.3">
      <c r="A4" t="s">
        <v>1342</v>
      </c>
      <c r="B4" t="s">
        <v>29</v>
      </c>
      <c r="C4">
        <v>433178231</v>
      </c>
    </row>
    <row r="5" spans="1:3" x14ac:dyDescent="0.3">
      <c r="A5" t="s">
        <v>1342</v>
      </c>
      <c r="B5" t="s">
        <v>13</v>
      </c>
      <c r="C5">
        <v>362208760</v>
      </c>
    </row>
    <row r="6" spans="1:3" x14ac:dyDescent="0.3">
      <c r="A6" t="s">
        <v>1342</v>
      </c>
      <c r="B6" t="s">
        <v>33</v>
      </c>
      <c r="C6">
        <v>441380318</v>
      </c>
    </row>
    <row r="7" spans="1:3" x14ac:dyDescent="0.3">
      <c r="A7" t="s">
        <v>1343</v>
      </c>
      <c r="B7" t="s">
        <v>18</v>
      </c>
      <c r="C7">
        <v>555148440</v>
      </c>
    </row>
    <row r="8" spans="1:3" x14ac:dyDescent="0.3">
      <c r="A8" t="s">
        <v>1343</v>
      </c>
      <c r="B8" t="s">
        <v>22</v>
      </c>
      <c r="C8">
        <v>391540199</v>
      </c>
    </row>
    <row r="9" spans="1:3" x14ac:dyDescent="0.3">
      <c r="A9" t="s">
        <v>1343</v>
      </c>
      <c r="B9" t="s">
        <v>29</v>
      </c>
      <c r="C9">
        <v>573696549</v>
      </c>
    </row>
    <row r="10" spans="1:3" x14ac:dyDescent="0.3">
      <c r="A10" t="s">
        <v>1343</v>
      </c>
      <c r="B10" t="s">
        <v>13</v>
      </c>
      <c r="C10">
        <v>313079705</v>
      </c>
    </row>
    <row r="11" spans="1:3" x14ac:dyDescent="0.3">
      <c r="A11" t="s">
        <v>1343</v>
      </c>
      <c r="B11" t="s">
        <v>33</v>
      </c>
      <c r="C11">
        <v>369802602</v>
      </c>
    </row>
    <row r="12" spans="1:3" x14ac:dyDescent="0.3">
      <c r="A12" t="s">
        <v>1344</v>
      </c>
      <c r="B12" t="s">
        <v>18</v>
      </c>
      <c r="C12">
        <v>456941698</v>
      </c>
    </row>
    <row r="13" spans="1:3" x14ac:dyDescent="0.3">
      <c r="A13" t="s">
        <v>1344</v>
      </c>
      <c r="B13" t="s">
        <v>22</v>
      </c>
      <c r="C13">
        <v>317407707</v>
      </c>
    </row>
    <row r="14" spans="1:3" x14ac:dyDescent="0.3">
      <c r="A14" t="s">
        <v>1344</v>
      </c>
      <c r="B14" t="s">
        <v>29</v>
      </c>
      <c r="C14">
        <v>486375766</v>
      </c>
    </row>
    <row r="15" spans="1:3" x14ac:dyDescent="0.3">
      <c r="A15" t="s">
        <v>1344</v>
      </c>
      <c r="B15" t="s">
        <v>13</v>
      </c>
      <c r="C15">
        <v>350125110</v>
      </c>
    </row>
    <row r="16" spans="1:3" x14ac:dyDescent="0.3">
      <c r="A16" t="s">
        <v>1344</v>
      </c>
      <c r="B16" t="s">
        <v>33</v>
      </c>
      <c r="C16">
        <v>376172492</v>
      </c>
    </row>
    <row r="17" spans="1:3" x14ac:dyDescent="0.3">
      <c r="A17" t="s">
        <v>1345</v>
      </c>
      <c r="B17" t="s">
        <v>18</v>
      </c>
      <c r="C17">
        <v>410002822</v>
      </c>
    </row>
    <row r="18" spans="1:3" x14ac:dyDescent="0.3">
      <c r="A18" t="s">
        <v>1345</v>
      </c>
      <c r="B18" t="s">
        <v>22</v>
      </c>
      <c r="C18">
        <v>581403803</v>
      </c>
    </row>
    <row r="19" spans="1:3" x14ac:dyDescent="0.3">
      <c r="A19" t="s">
        <v>1345</v>
      </c>
      <c r="B19" t="s">
        <v>29</v>
      </c>
      <c r="C19">
        <v>481011760</v>
      </c>
    </row>
    <row r="20" spans="1:3" x14ac:dyDescent="0.3">
      <c r="A20" t="s">
        <v>1345</v>
      </c>
      <c r="B20" t="s">
        <v>13</v>
      </c>
      <c r="C20">
        <v>445304373</v>
      </c>
    </row>
    <row r="21" spans="1:3" x14ac:dyDescent="0.3">
      <c r="A21" t="s">
        <v>1345</v>
      </c>
      <c r="B21" t="s">
        <v>33</v>
      </c>
      <c r="C21">
        <v>470105439</v>
      </c>
    </row>
    <row r="22" spans="1:3" x14ac:dyDescent="0.3">
      <c r="A22" t="s">
        <v>1346</v>
      </c>
      <c r="B22" t="s">
        <v>18</v>
      </c>
      <c r="C22">
        <v>395524405</v>
      </c>
    </row>
    <row r="23" spans="1:3" x14ac:dyDescent="0.3">
      <c r="A23" t="s">
        <v>1346</v>
      </c>
      <c r="B23" t="s">
        <v>22</v>
      </c>
      <c r="C23">
        <v>329865798</v>
      </c>
    </row>
    <row r="24" spans="1:3" x14ac:dyDescent="0.3">
      <c r="A24" t="s">
        <v>1346</v>
      </c>
      <c r="B24" t="s">
        <v>29</v>
      </c>
      <c r="C24">
        <v>377540700</v>
      </c>
    </row>
    <row r="25" spans="1:3" x14ac:dyDescent="0.3">
      <c r="A25" t="s">
        <v>1346</v>
      </c>
      <c r="B25" t="s">
        <v>13</v>
      </c>
      <c r="C25">
        <v>347981463</v>
      </c>
    </row>
    <row r="26" spans="1:3" x14ac:dyDescent="0.3">
      <c r="A26" t="s">
        <v>1346</v>
      </c>
      <c r="B26" t="s">
        <v>33</v>
      </c>
      <c r="C26">
        <v>494429768</v>
      </c>
    </row>
    <row r="27" spans="1:3" x14ac:dyDescent="0.3">
      <c r="A27" t="s">
        <v>1347</v>
      </c>
      <c r="B27" t="s">
        <v>18</v>
      </c>
      <c r="C27">
        <v>456018469</v>
      </c>
    </row>
    <row r="28" spans="1:3" x14ac:dyDescent="0.3">
      <c r="A28" t="s">
        <v>1347</v>
      </c>
      <c r="B28" t="s">
        <v>22</v>
      </c>
      <c r="C28">
        <v>556351160</v>
      </c>
    </row>
    <row r="29" spans="1:3" x14ac:dyDescent="0.3">
      <c r="A29" t="s">
        <v>1347</v>
      </c>
      <c r="B29" t="s">
        <v>29</v>
      </c>
      <c r="C29">
        <v>521142719</v>
      </c>
    </row>
    <row r="30" spans="1:3" x14ac:dyDescent="0.3">
      <c r="A30" t="s">
        <v>1347</v>
      </c>
      <c r="B30" t="s">
        <v>13</v>
      </c>
      <c r="C30">
        <v>354735349</v>
      </c>
    </row>
    <row r="31" spans="1:3" x14ac:dyDescent="0.3">
      <c r="A31" t="s">
        <v>1347</v>
      </c>
      <c r="B31" t="s">
        <v>33</v>
      </c>
      <c r="C31">
        <v>438202318</v>
      </c>
    </row>
    <row r="32" spans="1:3" x14ac:dyDescent="0.3">
      <c r="A32" t="s">
        <v>1348</v>
      </c>
      <c r="B32" t="s">
        <v>18</v>
      </c>
      <c r="C32">
        <v>477049986</v>
      </c>
    </row>
    <row r="33" spans="1:3" x14ac:dyDescent="0.3">
      <c r="A33" t="s">
        <v>1348</v>
      </c>
      <c r="B33" t="s">
        <v>22</v>
      </c>
      <c r="C33">
        <v>555825106</v>
      </c>
    </row>
    <row r="34" spans="1:3" x14ac:dyDescent="0.3">
      <c r="A34" t="s">
        <v>1348</v>
      </c>
      <c r="B34" t="s">
        <v>29</v>
      </c>
      <c r="C34">
        <v>426869098</v>
      </c>
    </row>
    <row r="35" spans="1:3" x14ac:dyDescent="0.3">
      <c r="A35" t="s">
        <v>1348</v>
      </c>
      <c r="B35" t="s">
        <v>13</v>
      </c>
      <c r="C35">
        <v>546210396</v>
      </c>
    </row>
    <row r="36" spans="1:3" x14ac:dyDescent="0.3">
      <c r="A36" t="s">
        <v>1348</v>
      </c>
      <c r="B36" t="s">
        <v>33</v>
      </c>
      <c r="C36">
        <v>516629413</v>
      </c>
    </row>
    <row r="37" spans="1:3" x14ac:dyDescent="0.3">
      <c r="A37" t="s">
        <v>1349</v>
      </c>
      <c r="B37" t="s">
        <v>18</v>
      </c>
      <c r="C37">
        <v>512756543</v>
      </c>
    </row>
    <row r="38" spans="1:3" x14ac:dyDescent="0.3">
      <c r="A38" t="s">
        <v>1349</v>
      </c>
      <c r="B38" t="s">
        <v>22</v>
      </c>
      <c r="C38">
        <v>323811309</v>
      </c>
    </row>
    <row r="39" spans="1:3" x14ac:dyDescent="0.3">
      <c r="A39" t="s">
        <v>1349</v>
      </c>
      <c r="B39" t="s">
        <v>29</v>
      </c>
      <c r="C39">
        <v>306727352</v>
      </c>
    </row>
    <row r="40" spans="1:3" x14ac:dyDescent="0.3">
      <c r="A40" t="s">
        <v>1349</v>
      </c>
      <c r="B40" t="s">
        <v>13</v>
      </c>
      <c r="C40">
        <v>322869545</v>
      </c>
    </row>
    <row r="41" spans="1:3" x14ac:dyDescent="0.3">
      <c r="A41" t="s">
        <v>1349</v>
      </c>
      <c r="B41" t="s">
        <v>33</v>
      </c>
      <c r="C41">
        <v>348579522</v>
      </c>
    </row>
    <row r="42" spans="1:3" x14ac:dyDescent="0.3">
      <c r="A42" t="s">
        <v>1350</v>
      </c>
      <c r="B42" t="s">
        <v>18</v>
      </c>
      <c r="C42">
        <v>362719821</v>
      </c>
    </row>
    <row r="43" spans="1:3" x14ac:dyDescent="0.3">
      <c r="A43" t="s">
        <v>1350</v>
      </c>
      <c r="B43" t="s">
        <v>22</v>
      </c>
      <c r="C43">
        <v>385403258</v>
      </c>
    </row>
    <row r="44" spans="1:3" x14ac:dyDescent="0.3">
      <c r="A44" t="s">
        <v>1350</v>
      </c>
      <c r="B44" t="s">
        <v>29</v>
      </c>
      <c r="C44">
        <v>445738123</v>
      </c>
    </row>
    <row r="45" spans="1:3" x14ac:dyDescent="0.3">
      <c r="A45" t="s">
        <v>1350</v>
      </c>
      <c r="B45" t="s">
        <v>13</v>
      </c>
      <c r="C45">
        <v>493404628</v>
      </c>
    </row>
    <row r="46" spans="1:3" x14ac:dyDescent="0.3">
      <c r="A46" t="s">
        <v>1350</v>
      </c>
      <c r="B46" t="s">
        <v>33</v>
      </c>
      <c r="C46">
        <v>534429847</v>
      </c>
    </row>
    <row r="47" spans="1:3" x14ac:dyDescent="0.3">
      <c r="A47" t="s">
        <v>1351</v>
      </c>
      <c r="B47" t="s">
        <v>18</v>
      </c>
      <c r="C47">
        <v>450598722</v>
      </c>
    </row>
    <row r="48" spans="1:3" x14ac:dyDescent="0.3">
      <c r="A48" t="s">
        <v>1351</v>
      </c>
      <c r="B48" t="s">
        <v>22</v>
      </c>
      <c r="C48">
        <v>497707145</v>
      </c>
    </row>
    <row r="49" spans="1:3" x14ac:dyDescent="0.3">
      <c r="A49" t="s">
        <v>1351</v>
      </c>
      <c r="B49" t="s">
        <v>29</v>
      </c>
      <c r="C49">
        <v>327980786</v>
      </c>
    </row>
    <row r="50" spans="1:3" x14ac:dyDescent="0.3">
      <c r="A50" t="s">
        <v>1351</v>
      </c>
      <c r="B50" t="s">
        <v>13</v>
      </c>
      <c r="C50">
        <v>470253837</v>
      </c>
    </row>
    <row r="51" spans="1:3" x14ac:dyDescent="0.3">
      <c r="A51" t="s">
        <v>1351</v>
      </c>
      <c r="B51" t="s">
        <v>33</v>
      </c>
      <c r="C51">
        <v>414761700</v>
      </c>
    </row>
    <row r="52" spans="1:3" x14ac:dyDescent="0.3">
      <c r="A52" t="s">
        <v>1352</v>
      </c>
      <c r="B52" t="s">
        <v>18</v>
      </c>
      <c r="C52">
        <v>391633543</v>
      </c>
    </row>
    <row r="53" spans="1:3" x14ac:dyDescent="0.3">
      <c r="A53" t="s">
        <v>1352</v>
      </c>
      <c r="B53" t="s">
        <v>22</v>
      </c>
      <c r="C53">
        <v>313993616</v>
      </c>
    </row>
    <row r="54" spans="1:3" x14ac:dyDescent="0.3">
      <c r="A54" t="s">
        <v>1352</v>
      </c>
      <c r="B54" t="s">
        <v>29</v>
      </c>
      <c r="C54">
        <v>373180748</v>
      </c>
    </row>
    <row r="55" spans="1:3" x14ac:dyDescent="0.3">
      <c r="A55" t="s">
        <v>1352</v>
      </c>
      <c r="B55" t="s">
        <v>13</v>
      </c>
      <c r="C55">
        <v>577336321</v>
      </c>
    </row>
    <row r="56" spans="1:3" x14ac:dyDescent="0.3">
      <c r="A56" t="s">
        <v>1352</v>
      </c>
      <c r="B56" t="s">
        <v>33</v>
      </c>
      <c r="C56">
        <v>307320926</v>
      </c>
    </row>
    <row r="57" spans="1:3" x14ac:dyDescent="0.3">
      <c r="A57" t="s">
        <v>1353</v>
      </c>
      <c r="B57" t="s">
        <v>18</v>
      </c>
      <c r="C57">
        <v>487716622</v>
      </c>
    </row>
    <row r="58" spans="1:3" x14ac:dyDescent="0.3">
      <c r="A58" t="s">
        <v>1353</v>
      </c>
      <c r="B58" t="s">
        <v>22</v>
      </c>
      <c r="C58">
        <v>397170179</v>
      </c>
    </row>
    <row r="59" spans="1:3" x14ac:dyDescent="0.3">
      <c r="A59" t="s">
        <v>1353</v>
      </c>
      <c r="B59" t="s">
        <v>29</v>
      </c>
      <c r="C59">
        <v>533058667</v>
      </c>
    </row>
    <row r="60" spans="1:3" x14ac:dyDescent="0.3">
      <c r="A60" t="s">
        <v>1353</v>
      </c>
      <c r="B60" t="s">
        <v>13</v>
      </c>
      <c r="C60">
        <v>497321332</v>
      </c>
    </row>
    <row r="61" spans="1:3" x14ac:dyDescent="0.3">
      <c r="A61" t="s">
        <v>1353</v>
      </c>
      <c r="B61" t="s">
        <v>33</v>
      </c>
      <c r="C61">
        <v>492394117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E13" sqref="E13"/>
    </sheetView>
  </sheetViews>
  <sheetFormatPr defaultRowHeight="14.4" x14ac:dyDescent="0.3"/>
  <cols>
    <col min="1" max="1" width="11.33203125" customWidth="1"/>
    <col min="2" max="2" width="14.5546875" customWidth="1"/>
    <col min="3" max="3" width="10.44140625" customWidth="1"/>
  </cols>
  <sheetData>
    <row r="1" spans="1:4" x14ac:dyDescent="0.3">
      <c r="A1" t="s">
        <v>1276</v>
      </c>
      <c r="B1" t="s">
        <v>1277</v>
      </c>
      <c r="C1" t="s">
        <v>1278</v>
      </c>
      <c r="D1" t="s">
        <v>7</v>
      </c>
    </row>
    <row r="2" spans="1:4" x14ac:dyDescent="0.3">
      <c r="A2" t="s">
        <v>1279</v>
      </c>
      <c r="B2" t="s">
        <v>53</v>
      </c>
      <c r="C2" t="s">
        <v>1280</v>
      </c>
      <c r="D2">
        <v>65000</v>
      </c>
    </row>
    <row r="3" spans="1:4" x14ac:dyDescent="0.3">
      <c r="A3" t="s">
        <v>1281</v>
      </c>
      <c r="B3" t="s">
        <v>10</v>
      </c>
      <c r="C3" t="s">
        <v>1280</v>
      </c>
      <c r="D3">
        <v>75000</v>
      </c>
    </row>
    <row r="4" spans="1:4" x14ac:dyDescent="0.3">
      <c r="A4" t="s">
        <v>1282</v>
      </c>
      <c r="B4" t="s">
        <v>24</v>
      </c>
      <c r="C4" t="s">
        <v>1280</v>
      </c>
      <c r="D4">
        <v>55000</v>
      </c>
    </row>
    <row r="5" spans="1:4" x14ac:dyDescent="0.3">
      <c r="A5" t="s">
        <v>1283</v>
      </c>
      <c r="B5" t="s">
        <v>15</v>
      </c>
      <c r="C5" t="s">
        <v>1280</v>
      </c>
      <c r="D5">
        <v>120000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
  <sheetViews>
    <sheetView workbookViewId="0">
      <selection activeCell="F15" sqref="F15"/>
    </sheetView>
  </sheetViews>
  <sheetFormatPr defaultRowHeight="14.4" x14ac:dyDescent="0.3"/>
  <cols>
    <col min="1" max="1" width="12.77734375" customWidth="1"/>
    <col min="2" max="2" width="18.33203125" customWidth="1"/>
    <col min="4" max="4" width="10.33203125" customWidth="1"/>
  </cols>
  <sheetData>
    <row r="1" spans="1:4" x14ac:dyDescent="0.3">
      <c r="A1" t="s">
        <v>1284</v>
      </c>
      <c r="B1" t="s">
        <v>1285</v>
      </c>
      <c r="C1" t="s">
        <v>4</v>
      </c>
      <c r="D1" t="s">
        <v>1286</v>
      </c>
    </row>
    <row r="2" spans="1:4" x14ac:dyDescent="0.3">
      <c r="A2" t="s">
        <v>1287</v>
      </c>
      <c r="B2" t="s">
        <v>43</v>
      </c>
      <c r="C2" t="s">
        <v>26</v>
      </c>
      <c r="D2" t="s">
        <v>1288</v>
      </c>
    </row>
    <row r="3" spans="1:4" x14ac:dyDescent="0.3">
      <c r="A3" t="s">
        <v>1289</v>
      </c>
      <c r="B3" t="s">
        <v>83</v>
      </c>
      <c r="C3" t="s">
        <v>21</v>
      </c>
      <c r="D3" t="s">
        <v>1290</v>
      </c>
    </row>
    <row r="4" spans="1:4" x14ac:dyDescent="0.3">
      <c r="A4" t="s">
        <v>1291</v>
      </c>
      <c r="B4" t="s">
        <v>110</v>
      </c>
      <c r="C4" t="s">
        <v>32</v>
      </c>
      <c r="D4" t="s">
        <v>1292</v>
      </c>
    </row>
    <row r="5" spans="1:4" x14ac:dyDescent="0.3">
      <c r="A5" t="s">
        <v>1293</v>
      </c>
      <c r="B5" t="s">
        <v>141</v>
      </c>
      <c r="C5" t="s">
        <v>21</v>
      </c>
      <c r="D5" t="s">
        <v>1292</v>
      </c>
    </row>
    <row r="6" spans="1:4" x14ac:dyDescent="0.3">
      <c r="A6" t="s">
        <v>1294</v>
      </c>
      <c r="B6" t="s">
        <v>95</v>
      </c>
      <c r="C6" t="s">
        <v>26</v>
      </c>
      <c r="D6" t="s">
        <v>1290</v>
      </c>
    </row>
    <row r="7" spans="1:4" x14ac:dyDescent="0.3">
      <c r="A7" t="s">
        <v>1295</v>
      </c>
      <c r="B7" t="s">
        <v>73</v>
      </c>
      <c r="C7" t="s">
        <v>36</v>
      </c>
      <c r="D7" t="s">
        <v>1288</v>
      </c>
    </row>
    <row r="8" spans="1:4" x14ac:dyDescent="0.3">
      <c r="A8" t="s">
        <v>1296</v>
      </c>
      <c r="B8" t="s">
        <v>40</v>
      </c>
      <c r="C8" t="s">
        <v>41</v>
      </c>
      <c r="D8" t="s">
        <v>1292</v>
      </c>
    </row>
    <row r="9" spans="1:4" x14ac:dyDescent="0.3">
      <c r="A9" t="s">
        <v>1297</v>
      </c>
      <c r="B9" t="s">
        <v>20</v>
      </c>
      <c r="C9" t="s">
        <v>21</v>
      </c>
      <c r="D9" t="s">
        <v>1292</v>
      </c>
    </row>
    <row r="10" spans="1:4" x14ac:dyDescent="0.3">
      <c r="A10" t="s">
        <v>1298</v>
      </c>
      <c r="B10" t="s">
        <v>38</v>
      </c>
      <c r="C10" t="s">
        <v>17</v>
      </c>
      <c r="D10" t="s">
        <v>1290</v>
      </c>
    </row>
    <row r="11" spans="1:4" x14ac:dyDescent="0.3">
      <c r="A11" t="s">
        <v>1299</v>
      </c>
      <c r="B11" t="s">
        <v>47</v>
      </c>
      <c r="C11" t="s">
        <v>41</v>
      </c>
      <c r="D11" t="s">
        <v>1290</v>
      </c>
    </row>
    <row r="12" spans="1:4" x14ac:dyDescent="0.3">
      <c r="A12" t="s">
        <v>1300</v>
      </c>
      <c r="B12" t="s">
        <v>16</v>
      </c>
      <c r="C12" t="s">
        <v>17</v>
      </c>
      <c r="D12" t="s">
        <v>1288</v>
      </c>
    </row>
    <row r="13" spans="1:4" x14ac:dyDescent="0.3">
      <c r="A13" t="s">
        <v>1301</v>
      </c>
      <c r="B13" t="s">
        <v>99</v>
      </c>
      <c r="C13" t="s">
        <v>32</v>
      </c>
      <c r="D13" t="s">
        <v>1288</v>
      </c>
    </row>
    <row r="14" spans="1:4" x14ac:dyDescent="0.3">
      <c r="A14" t="s">
        <v>1302</v>
      </c>
      <c r="B14" t="s">
        <v>269</v>
      </c>
      <c r="C14" t="s">
        <v>32</v>
      </c>
      <c r="D14" t="s">
        <v>1288</v>
      </c>
    </row>
    <row r="15" spans="1:4" x14ac:dyDescent="0.3">
      <c r="A15" t="s">
        <v>1303</v>
      </c>
      <c r="B15" t="s">
        <v>129</v>
      </c>
      <c r="C15" t="s">
        <v>57</v>
      </c>
      <c r="D15" t="s">
        <v>1290</v>
      </c>
    </row>
    <row r="16" spans="1:4" x14ac:dyDescent="0.3">
      <c r="A16" t="s">
        <v>1304</v>
      </c>
      <c r="B16" t="s">
        <v>25</v>
      </c>
      <c r="C16" t="s">
        <v>26</v>
      </c>
      <c r="D16" t="s">
        <v>1288</v>
      </c>
    </row>
    <row r="17" spans="1:4" x14ac:dyDescent="0.3">
      <c r="A17" t="s">
        <v>1305</v>
      </c>
      <c r="B17" t="s">
        <v>68</v>
      </c>
      <c r="C17" t="s">
        <v>21</v>
      </c>
      <c r="D17" t="s">
        <v>1292</v>
      </c>
    </row>
    <row r="18" spans="1:4" x14ac:dyDescent="0.3">
      <c r="A18" t="s">
        <v>1306</v>
      </c>
      <c r="B18" t="s">
        <v>93</v>
      </c>
      <c r="C18" t="s">
        <v>41</v>
      </c>
      <c r="D18" t="s">
        <v>1292</v>
      </c>
    </row>
    <row r="19" spans="1:4" x14ac:dyDescent="0.3">
      <c r="A19" t="s">
        <v>1307</v>
      </c>
      <c r="B19" t="s">
        <v>191</v>
      </c>
      <c r="C19" t="s">
        <v>57</v>
      </c>
      <c r="D19" t="s">
        <v>1288</v>
      </c>
    </row>
    <row r="20" spans="1:4" x14ac:dyDescent="0.3">
      <c r="A20" t="s">
        <v>1308</v>
      </c>
      <c r="B20" t="s">
        <v>59</v>
      </c>
      <c r="C20" t="s">
        <v>41</v>
      </c>
      <c r="D20" t="s">
        <v>1292</v>
      </c>
    </row>
    <row r="21" spans="1:4" x14ac:dyDescent="0.3">
      <c r="A21" t="s">
        <v>1309</v>
      </c>
      <c r="B21" t="s">
        <v>54</v>
      </c>
      <c r="C21" t="s">
        <v>21</v>
      </c>
      <c r="D21" t="s">
        <v>1290</v>
      </c>
    </row>
    <row r="22" spans="1:4" x14ac:dyDescent="0.3">
      <c r="A22" t="s">
        <v>1310</v>
      </c>
      <c r="B22" t="s">
        <v>89</v>
      </c>
      <c r="C22" t="s">
        <v>12</v>
      </c>
      <c r="D22" t="s">
        <v>1292</v>
      </c>
    </row>
    <row r="23" spans="1:4" x14ac:dyDescent="0.3">
      <c r="A23" t="s">
        <v>1311</v>
      </c>
      <c r="B23" t="s">
        <v>56</v>
      </c>
      <c r="C23" t="s">
        <v>57</v>
      </c>
      <c r="D23" t="s">
        <v>1290</v>
      </c>
    </row>
    <row r="24" spans="1:4" x14ac:dyDescent="0.3">
      <c r="A24" t="s">
        <v>1312</v>
      </c>
      <c r="B24" t="s">
        <v>63</v>
      </c>
      <c r="C24" t="s">
        <v>32</v>
      </c>
      <c r="D24" t="s">
        <v>1288</v>
      </c>
    </row>
    <row r="25" spans="1:4" x14ac:dyDescent="0.3">
      <c r="A25" t="s">
        <v>1313</v>
      </c>
      <c r="B25" t="s">
        <v>305</v>
      </c>
      <c r="C25" t="s">
        <v>32</v>
      </c>
      <c r="D25" t="s">
        <v>1290</v>
      </c>
    </row>
    <row r="26" spans="1:4" x14ac:dyDescent="0.3">
      <c r="A26" t="s">
        <v>1314</v>
      </c>
      <c r="B26" t="s">
        <v>124</v>
      </c>
      <c r="C26" t="s">
        <v>26</v>
      </c>
      <c r="D26" t="s">
        <v>1292</v>
      </c>
    </row>
    <row r="27" spans="1:4" x14ac:dyDescent="0.3">
      <c r="A27" t="s">
        <v>1315</v>
      </c>
      <c r="B27" t="s">
        <v>31</v>
      </c>
      <c r="C27" t="s">
        <v>32</v>
      </c>
      <c r="D27" t="s">
        <v>1290</v>
      </c>
    </row>
    <row r="28" spans="1:4" x14ac:dyDescent="0.3">
      <c r="A28" t="s">
        <v>1316</v>
      </c>
      <c r="B28" t="s">
        <v>133</v>
      </c>
      <c r="C28" t="s">
        <v>17</v>
      </c>
      <c r="D28" t="s">
        <v>1288</v>
      </c>
    </row>
    <row r="29" spans="1:4" x14ac:dyDescent="0.3">
      <c r="A29" t="s">
        <v>1317</v>
      </c>
      <c r="B29" t="s">
        <v>61</v>
      </c>
      <c r="C29" t="s">
        <v>17</v>
      </c>
      <c r="D29" t="s">
        <v>1292</v>
      </c>
    </row>
    <row r="30" spans="1:4" x14ac:dyDescent="0.3">
      <c r="A30" t="s">
        <v>1318</v>
      </c>
      <c r="B30" t="s">
        <v>91</v>
      </c>
      <c r="C30" t="s">
        <v>17</v>
      </c>
      <c r="D30" t="s">
        <v>1290</v>
      </c>
    </row>
    <row r="31" spans="1:4" x14ac:dyDescent="0.3">
      <c r="A31" t="s">
        <v>1319</v>
      </c>
      <c r="B31" t="s">
        <v>119</v>
      </c>
      <c r="C31" t="s">
        <v>36</v>
      </c>
      <c r="D31" t="s">
        <v>1290</v>
      </c>
    </row>
    <row r="32" spans="1:4" x14ac:dyDescent="0.3">
      <c r="A32" t="s">
        <v>1320</v>
      </c>
      <c r="B32" t="s">
        <v>79</v>
      </c>
      <c r="C32" t="s">
        <v>36</v>
      </c>
      <c r="D32" t="s">
        <v>1292</v>
      </c>
    </row>
    <row r="33" spans="1:4" x14ac:dyDescent="0.3">
      <c r="A33" t="s">
        <v>1321</v>
      </c>
      <c r="B33" t="s">
        <v>81</v>
      </c>
      <c r="C33" t="s">
        <v>32</v>
      </c>
      <c r="D33" t="s">
        <v>1288</v>
      </c>
    </row>
    <row r="34" spans="1:4" x14ac:dyDescent="0.3">
      <c r="A34" t="s">
        <v>1322</v>
      </c>
      <c r="B34" t="s">
        <v>184</v>
      </c>
      <c r="C34" t="s">
        <v>57</v>
      </c>
      <c r="D34" t="s">
        <v>1292</v>
      </c>
    </row>
    <row r="35" spans="1:4" x14ac:dyDescent="0.3">
      <c r="A35" t="s">
        <v>1323</v>
      </c>
      <c r="B35" t="s">
        <v>116</v>
      </c>
      <c r="C35" t="s">
        <v>57</v>
      </c>
      <c r="D35" t="s">
        <v>1290</v>
      </c>
    </row>
    <row r="36" spans="1:4" x14ac:dyDescent="0.3">
      <c r="A36" t="s">
        <v>1324</v>
      </c>
      <c r="B36" t="s">
        <v>51</v>
      </c>
      <c r="C36" t="s">
        <v>36</v>
      </c>
      <c r="D36" t="s">
        <v>1288</v>
      </c>
    </row>
    <row r="37" spans="1:4" x14ac:dyDescent="0.3">
      <c r="A37" t="s">
        <v>1325</v>
      </c>
      <c r="B37" t="s">
        <v>45</v>
      </c>
      <c r="C37" t="s">
        <v>12</v>
      </c>
      <c r="D37" t="s">
        <v>1290</v>
      </c>
    </row>
    <row r="38" spans="1:4" x14ac:dyDescent="0.3">
      <c r="A38" t="s">
        <v>1326</v>
      </c>
      <c r="B38" t="s">
        <v>11</v>
      </c>
      <c r="C38" t="s">
        <v>12</v>
      </c>
      <c r="D38" t="s">
        <v>1292</v>
      </c>
    </row>
    <row r="39" spans="1:4" x14ac:dyDescent="0.3">
      <c r="A39" t="s">
        <v>1327</v>
      </c>
      <c r="B39" t="s">
        <v>86</v>
      </c>
      <c r="C39" t="s">
        <v>12</v>
      </c>
      <c r="D39" t="s">
        <v>1290</v>
      </c>
    </row>
    <row r="40" spans="1:4" x14ac:dyDescent="0.3">
      <c r="A40" t="s">
        <v>1328</v>
      </c>
      <c r="B40" t="s">
        <v>136</v>
      </c>
      <c r="C40" t="s">
        <v>36</v>
      </c>
      <c r="D40" t="s">
        <v>1292</v>
      </c>
    </row>
    <row r="41" spans="1:4" x14ac:dyDescent="0.3">
      <c r="A41" t="s">
        <v>1329</v>
      </c>
      <c r="B41" t="s">
        <v>121</v>
      </c>
      <c r="C41" t="s">
        <v>32</v>
      </c>
      <c r="D41" t="s">
        <v>1288</v>
      </c>
    </row>
    <row r="42" spans="1:4" x14ac:dyDescent="0.3">
      <c r="A42" t="s">
        <v>1330</v>
      </c>
      <c r="B42" t="s">
        <v>71</v>
      </c>
      <c r="C42" t="s">
        <v>21</v>
      </c>
      <c r="D42" t="s">
        <v>1288</v>
      </c>
    </row>
    <row r="43" spans="1:4" x14ac:dyDescent="0.3">
      <c r="A43" t="s">
        <v>1331</v>
      </c>
      <c r="B43" t="s">
        <v>152</v>
      </c>
      <c r="C43" t="s">
        <v>36</v>
      </c>
      <c r="D43" t="s">
        <v>1292</v>
      </c>
    </row>
    <row r="44" spans="1:4" x14ac:dyDescent="0.3">
      <c r="A44" t="s">
        <v>1332</v>
      </c>
      <c r="B44" t="s">
        <v>101</v>
      </c>
      <c r="C44" t="s">
        <v>36</v>
      </c>
      <c r="D44" t="s">
        <v>1292</v>
      </c>
    </row>
    <row r="45" spans="1:4" x14ac:dyDescent="0.3">
      <c r="A45" t="s">
        <v>1333</v>
      </c>
      <c r="B45" t="s">
        <v>49</v>
      </c>
      <c r="C45" t="s">
        <v>26</v>
      </c>
      <c r="D45" t="s">
        <v>1292</v>
      </c>
    </row>
    <row r="46" spans="1:4" x14ac:dyDescent="0.3">
      <c r="A46" t="s">
        <v>1334</v>
      </c>
      <c r="B46" t="s">
        <v>28</v>
      </c>
      <c r="C46" t="s">
        <v>17</v>
      </c>
      <c r="D46" t="s">
        <v>1290</v>
      </c>
    </row>
    <row r="47" spans="1:4" x14ac:dyDescent="0.3">
      <c r="A47" t="s">
        <v>1335</v>
      </c>
      <c r="B47" t="s">
        <v>251</v>
      </c>
      <c r="C47" t="s">
        <v>12</v>
      </c>
      <c r="D47" t="s">
        <v>1292</v>
      </c>
    </row>
    <row r="48" spans="1:4" x14ac:dyDescent="0.3">
      <c r="A48" t="s">
        <v>1336</v>
      </c>
      <c r="B48" t="s">
        <v>201</v>
      </c>
      <c r="C48" t="s">
        <v>21</v>
      </c>
      <c r="D48" t="s">
        <v>1288</v>
      </c>
    </row>
    <row r="49" spans="1:4" x14ac:dyDescent="0.3">
      <c r="A49" t="s">
        <v>1337</v>
      </c>
      <c r="B49" t="s">
        <v>65</v>
      </c>
      <c r="C49" t="s">
        <v>21</v>
      </c>
      <c r="D49" t="s">
        <v>1292</v>
      </c>
    </row>
    <row r="50" spans="1:4" x14ac:dyDescent="0.3">
      <c r="A50" t="s">
        <v>1338</v>
      </c>
      <c r="B50" t="s">
        <v>35</v>
      </c>
      <c r="C50" t="s">
        <v>36</v>
      </c>
      <c r="D50" t="s">
        <v>1290</v>
      </c>
    </row>
    <row r="51" spans="1:4" x14ac:dyDescent="0.3">
      <c r="A51" t="s">
        <v>1339</v>
      </c>
      <c r="B51" t="s">
        <v>104</v>
      </c>
      <c r="C51" t="s">
        <v>26</v>
      </c>
      <c r="D51" t="s">
        <v>1288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E8BAA-C760-48DE-A9F8-4EE5E334E1D1}">
  <dimension ref="A3:Q340"/>
  <sheetViews>
    <sheetView topLeftCell="A63" zoomScale="50" zoomScaleNormal="50" workbookViewId="0">
      <selection activeCell="I157" sqref="I157"/>
    </sheetView>
  </sheetViews>
  <sheetFormatPr defaultRowHeight="14.4" x14ac:dyDescent="0.3"/>
  <cols>
    <col min="1" max="1" width="19.21875" bestFit="1" customWidth="1"/>
    <col min="2" max="2" width="16.77734375" bestFit="1" customWidth="1"/>
    <col min="3" max="3" width="13.6640625" bestFit="1" customWidth="1"/>
    <col min="4" max="4" width="15.44140625" bestFit="1" customWidth="1"/>
    <col min="5" max="5" width="16.77734375" bestFit="1" customWidth="1"/>
    <col min="6" max="12" width="23.21875" bestFit="1" customWidth="1"/>
    <col min="13" max="13" width="22.33203125" bestFit="1" customWidth="1"/>
    <col min="14" max="14" width="23.6640625" bestFit="1" customWidth="1"/>
    <col min="15" max="15" width="23.21875" bestFit="1" customWidth="1"/>
    <col min="16" max="23" width="23.6640625" bestFit="1" customWidth="1"/>
    <col min="24" max="24" width="22.33203125" bestFit="1" customWidth="1"/>
    <col min="25" max="25" width="23.6640625" bestFit="1" customWidth="1"/>
    <col min="26" max="26" width="23.21875" bestFit="1" customWidth="1"/>
    <col min="27" max="34" width="23.6640625" bestFit="1" customWidth="1"/>
    <col min="35" max="35" width="22.33203125" bestFit="1" customWidth="1"/>
    <col min="36" max="36" width="23.6640625" bestFit="1" customWidth="1"/>
    <col min="37" max="37" width="23.21875" bestFit="1" customWidth="1"/>
    <col min="38" max="45" width="23.6640625" bestFit="1" customWidth="1"/>
    <col min="46" max="46" width="22.33203125" bestFit="1" customWidth="1"/>
    <col min="47" max="47" width="23.6640625" bestFit="1" customWidth="1"/>
    <col min="48" max="51" width="22.33203125" bestFit="1" customWidth="1"/>
    <col min="52" max="52" width="15.5546875" bestFit="1" customWidth="1"/>
  </cols>
  <sheetData>
    <row r="3" spans="1:2" x14ac:dyDescent="0.3">
      <c r="A3" s="2" t="s">
        <v>1355</v>
      </c>
      <c r="B3" t="s">
        <v>1354</v>
      </c>
    </row>
    <row r="4" spans="1:2" x14ac:dyDescent="0.3">
      <c r="A4" s="3" t="s">
        <v>1357</v>
      </c>
      <c r="B4" s="10">
        <v>2062770000</v>
      </c>
    </row>
    <row r="5" spans="1:2" x14ac:dyDescent="0.3">
      <c r="A5" s="4" t="s">
        <v>1342</v>
      </c>
      <c r="B5" s="10">
        <v>194220000</v>
      </c>
    </row>
    <row r="6" spans="1:2" x14ac:dyDescent="0.3">
      <c r="A6" s="4" t="s">
        <v>1343</v>
      </c>
      <c r="B6" s="10">
        <v>128775000</v>
      </c>
    </row>
    <row r="7" spans="1:2" x14ac:dyDescent="0.3">
      <c r="A7" s="4" t="s">
        <v>1344</v>
      </c>
      <c r="B7" s="10">
        <v>101630000</v>
      </c>
    </row>
    <row r="8" spans="1:2" x14ac:dyDescent="0.3">
      <c r="A8" s="4" t="s">
        <v>1345</v>
      </c>
      <c r="B8" s="10">
        <v>178305000</v>
      </c>
    </row>
    <row r="9" spans="1:2" x14ac:dyDescent="0.3">
      <c r="A9" s="4" t="s">
        <v>1346</v>
      </c>
      <c r="B9" s="10">
        <v>267675000</v>
      </c>
    </row>
    <row r="10" spans="1:2" x14ac:dyDescent="0.3">
      <c r="A10" s="4" t="s">
        <v>1347</v>
      </c>
      <c r="B10" s="10">
        <v>206910000</v>
      </c>
    </row>
    <row r="11" spans="1:2" x14ac:dyDescent="0.3">
      <c r="A11" s="4" t="s">
        <v>1348</v>
      </c>
      <c r="B11" s="10">
        <v>191425000</v>
      </c>
    </row>
    <row r="12" spans="1:2" x14ac:dyDescent="0.3">
      <c r="A12" s="4" t="s">
        <v>1349</v>
      </c>
      <c r="B12" s="10">
        <v>183880000</v>
      </c>
    </row>
    <row r="13" spans="1:2" x14ac:dyDescent="0.3">
      <c r="A13" s="4" t="s">
        <v>1350</v>
      </c>
      <c r="B13" s="10">
        <v>253445000</v>
      </c>
    </row>
    <row r="14" spans="1:2" x14ac:dyDescent="0.3">
      <c r="A14" s="4" t="s">
        <v>1351</v>
      </c>
      <c r="B14" s="10">
        <v>71005000</v>
      </c>
    </row>
    <row r="15" spans="1:2" x14ac:dyDescent="0.3">
      <c r="A15" s="4" t="s">
        <v>1352</v>
      </c>
      <c r="B15" s="10">
        <v>172350000</v>
      </c>
    </row>
    <row r="16" spans="1:2" x14ac:dyDescent="0.3">
      <c r="A16" s="4" t="s">
        <v>1353</v>
      </c>
      <c r="B16" s="10">
        <v>113150000</v>
      </c>
    </row>
    <row r="17" spans="1:2" x14ac:dyDescent="0.3">
      <c r="A17" s="3" t="s">
        <v>1356</v>
      </c>
      <c r="B17" s="10">
        <v>2062770000</v>
      </c>
    </row>
    <row r="24" spans="1:2" x14ac:dyDescent="0.3">
      <c r="A24" s="2" t="s">
        <v>1355</v>
      </c>
      <c r="B24" t="s">
        <v>1354</v>
      </c>
    </row>
    <row r="25" spans="1:2" x14ac:dyDescent="0.3">
      <c r="A25" s="3" t="s">
        <v>15</v>
      </c>
      <c r="B25" s="10">
        <v>866280000</v>
      </c>
    </row>
    <row r="26" spans="1:2" x14ac:dyDescent="0.3">
      <c r="A26" s="3" t="s">
        <v>10</v>
      </c>
      <c r="B26" s="10">
        <v>411600000</v>
      </c>
    </row>
    <row r="27" spans="1:2" x14ac:dyDescent="0.3">
      <c r="A27" s="3" t="s">
        <v>53</v>
      </c>
      <c r="B27" s="10">
        <v>409955000</v>
      </c>
    </row>
    <row r="28" spans="1:2" x14ac:dyDescent="0.3">
      <c r="A28" s="3" t="s">
        <v>24</v>
      </c>
      <c r="B28" s="10">
        <v>374935000</v>
      </c>
    </row>
    <row r="29" spans="1:2" x14ac:dyDescent="0.3">
      <c r="A29" s="3" t="s">
        <v>1356</v>
      </c>
      <c r="B29" s="10">
        <v>2062770000</v>
      </c>
    </row>
    <row r="41" spans="1:2" x14ac:dyDescent="0.3">
      <c r="A41" s="2" t="s">
        <v>1355</v>
      </c>
      <c r="B41" t="s">
        <v>1354</v>
      </c>
    </row>
    <row r="42" spans="1:2" x14ac:dyDescent="0.3">
      <c r="A42" s="3" t="s">
        <v>21</v>
      </c>
      <c r="B42" s="10">
        <v>391445000</v>
      </c>
    </row>
    <row r="43" spans="1:2" x14ac:dyDescent="0.3">
      <c r="A43" s="3" t="s">
        <v>32</v>
      </c>
      <c r="B43" s="10">
        <v>321625000</v>
      </c>
    </row>
    <row r="44" spans="1:2" x14ac:dyDescent="0.3">
      <c r="A44" s="3" t="s">
        <v>36</v>
      </c>
      <c r="B44" s="10">
        <v>319885000</v>
      </c>
    </row>
    <row r="45" spans="1:2" x14ac:dyDescent="0.3">
      <c r="A45" s="3" t="s">
        <v>17</v>
      </c>
      <c r="B45" s="10">
        <v>291895000</v>
      </c>
    </row>
    <row r="46" spans="1:2" x14ac:dyDescent="0.3">
      <c r="A46" s="3" t="s">
        <v>26</v>
      </c>
      <c r="B46" s="10">
        <v>290595000</v>
      </c>
    </row>
    <row r="47" spans="1:2" x14ac:dyDescent="0.3">
      <c r="A47" s="3" t="s">
        <v>41</v>
      </c>
      <c r="B47" s="10">
        <v>166625000</v>
      </c>
    </row>
    <row r="48" spans="1:2" x14ac:dyDescent="0.3">
      <c r="A48" s="3" t="s">
        <v>57</v>
      </c>
      <c r="B48" s="10">
        <v>143095000</v>
      </c>
    </row>
    <row r="49" spans="1:2" x14ac:dyDescent="0.3">
      <c r="A49" s="3" t="s">
        <v>12</v>
      </c>
      <c r="B49" s="10">
        <v>137605000</v>
      </c>
    </row>
    <row r="50" spans="1:2" x14ac:dyDescent="0.3">
      <c r="A50" s="3" t="s">
        <v>1356</v>
      </c>
      <c r="B50" s="10">
        <v>2062770000</v>
      </c>
    </row>
    <row r="57" spans="1:2" x14ac:dyDescent="0.3">
      <c r="A57" s="2" t="s">
        <v>1355</v>
      </c>
      <c r="B57" t="s">
        <v>1354</v>
      </c>
    </row>
    <row r="58" spans="1:2" x14ac:dyDescent="0.3">
      <c r="A58" s="3" t="s">
        <v>18</v>
      </c>
      <c r="B58" s="10">
        <v>2062770000</v>
      </c>
    </row>
    <row r="59" spans="1:2" x14ac:dyDescent="0.3">
      <c r="A59" s="3" t="s">
        <v>1356</v>
      </c>
      <c r="B59" s="10">
        <v>2062770000</v>
      </c>
    </row>
    <row r="76" spans="1:16" x14ac:dyDescent="0.3">
      <c r="N76" s="2" t="s">
        <v>1340</v>
      </c>
      <c r="O76" t="s">
        <v>1369</v>
      </c>
    </row>
    <row r="78" spans="1:16" x14ac:dyDescent="0.3">
      <c r="A78" s="2" t="s">
        <v>5</v>
      </c>
      <c r="B78" s="2" t="s">
        <v>1364</v>
      </c>
      <c r="C78" s="2" t="s">
        <v>1340</v>
      </c>
      <c r="D78" t="s">
        <v>1363</v>
      </c>
      <c r="F78" t="s">
        <v>5</v>
      </c>
      <c r="G78" t="s">
        <v>1366</v>
      </c>
      <c r="H78" t="s">
        <v>1340</v>
      </c>
      <c r="I78" t="s">
        <v>1363</v>
      </c>
      <c r="J78" t="s">
        <v>1341</v>
      </c>
      <c r="K78" t="s">
        <v>1370</v>
      </c>
      <c r="L78" t="s">
        <v>1365</v>
      </c>
      <c r="N78" s="2" t="s">
        <v>1368</v>
      </c>
      <c r="O78" s="2" t="s">
        <v>1367</v>
      </c>
    </row>
    <row r="79" spans="1:16" hidden="1" x14ac:dyDescent="0.3">
      <c r="A79" t="s">
        <v>18</v>
      </c>
      <c r="B79" t="s">
        <v>1357</v>
      </c>
      <c r="C79" t="s">
        <v>1342</v>
      </c>
      <c r="D79" s="10">
        <v>194220000</v>
      </c>
      <c r="F79" t="s">
        <v>22</v>
      </c>
      <c r="G79" t="s">
        <v>1357</v>
      </c>
      <c r="H79" t="s">
        <v>1346</v>
      </c>
      <c r="I79">
        <v>249765000</v>
      </c>
      <c r="J79" cm="1">
        <f t="array" ref="J79">INDEX(targets!C:C,
 MATCH(1,
  (targets!A:A='Data Olahan'!H107)*(targets!B:B=F79),
  0
 )
)</f>
        <v>323811309</v>
      </c>
      <c r="K79" s="5">
        <f t="shared" ref="K79:K85" si="0">IFERROR(I79/J79,0)</f>
        <v>0.7713288358313638</v>
      </c>
      <c r="L79" t="str">
        <f t="shared" ref="L79:L85" si="1">IF(K79&gt;=1,"Achieved","Not Achieved")</f>
        <v>Not Achieved</v>
      </c>
      <c r="N79" s="2" t="s">
        <v>1355</v>
      </c>
      <c r="O79" t="s">
        <v>1372</v>
      </c>
      <c r="P79" t="s">
        <v>1356</v>
      </c>
    </row>
    <row r="80" spans="1:16" hidden="1" x14ac:dyDescent="0.3">
      <c r="A80" t="s">
        <v>18</v>
      </c>
      <c r="B80" t="s">
        <v>1357</v>
      </c>
      <c r="C80" t="s">
        <v>1343</v>
      </c>
      <c r="D80" s="10">
        <v>128775000</v>
      </c>
      <c r="F80" t="s">
        <v>29</v>
      </c>
      <c r="G80" t="s">
        <v>1357</v>
      </c>
      <c r="H80" t="s">
        <v>1347</v>
      </c>
      <c r="I80">
        <v>266845000</v>
      </c>
      <c r="J80" cm="1">
        <f t="array" ref="J80">INDEX(targets!C:C,
 MATCH(1,
  (targets!A:A='Data Olahan'!H120)*(targets!B:B=F80),
  0
 )
)</f>
        <v>533058667</v>
      </c>
      <c r="K80" s="5">
        <f t="shared" si="0"/>
        <v>0.50059217965965463</v>
      </c>
      <c r="L80" t="str">
        <f t="shared" si="1"/>
        <v>Not Achieved</v>
      </c>
      <c r="N80" s="3" t="s">
        <v>33</v>
      </c>
      <c r="O80">
        <v>12</v>
      </c>
      <c r="P80">
        <v>12</v>
      </c>
    </row>
    <row r="81" spans="1:16" hidden="1" x14ac:dyDescent="0.3">
      <c r="A81" t="s">
        <v>18</v>
      </c>
      <c r="B81" t="s">
        <v>1357</v>
      </c>
      <c r="C81" t="s">
        <v>1344</v>
      </c>
      <c r="D81" s="10">
        <v>101630000</v>
      </c>
      <c r="F81" t="s">
        <v>22</v>
      </c>
      <c r="G81" t="s">
        <v>1357</v>
      </c>
      <c r="H81" t="s">
        <v>1350</v>
      </c>
      <c r="I81">
        <v>211555000</v>
      </c>
      <c r="J81" cm="1">
        <f t="array" ref="J81">INDEX(targets!C:C,
 MATCH(1,
  (targets!A:A='Data Olahan'!H111)*(targets!B:B=F81),
  0
 )
)</f>
        <v>397170179</v>
      </c>
      <c r="K81" s="5">
        <f t="shared" si="0"/>
        <v>0.5326558014316578</v>
      </c>
      <c r="L81" t="str">
        <f t="shared" si="1"/>
        <v>Not Achieved</v>
      </c>
      <c r="N81" s="3" t="s">
        <v>18</v>
      </c>
      <c r="O81">
        <v>12</v>
      </c>
      <c r="P81">
        <v>12</v>
      </c>
    </row>
    <row r="82" spans="1:16" hidden="1" x14ac:dyDescent="0.3">
      <c r="A82" t="s">
        <v>18</v>
      </c>
      <c r="B82" t="s">
        <v>1357</v>
      </c>
      <c r="C82" t="s">
        <v>1345</v>
      </c>
      <c r="D82" s="10">
        <v>178305000</v>
      </c>
      <c r="F82" t="s">
        <v>18</v>
      </c>
      <c r="G82" t="s">
        <v>1357</v>
      </c>
      <c r="H82" t="s">
        <v>1350</v>
      </c>
      <c r="I82">
        <v>253445000</v>
      </c>
      <c r="J82" cm="1">
        <f t="array" ref="J82">INDEX(targets!C:C,
 MATCH(1,
  (targets!A:A='Data Olahan'!H99)*(targets!B:B=F82),
  0
 )
)</f>
        <v>489501094</v>
      </c>
      <c r="K82" s="5">
        <f t="shared" si="0"/>
        <v>0.51776186632996579</v>
      </c>
      <c r="L82" t="str">
        <f t="shared" si="1"/>
        <v>Not Achieved</v>
      </c>
      <c r="N82" s="3" t="s">
        <v>22</v>
      </c>
      <c r="O82">
        <v>12</v>
      </c>
      <c r="P82">
        <v>12</v>
      </c>
    </row>
    <row r="83" spans="1:16" hidden="1" x14ac:dyDescent="0.3">
      <c r="A83" t="s">
        <v>18</v>
      </c>
      <c r="B83" t="s">
        <v>1357</v>
      </c>
      <c r="C83" t="s">
        <v>1346</v>
      </c>
      <c r="D83" s="10">
        <v>267675000</v>
      </c>
      <c r="F83" t="s">
        <v>22</v>
      </c>
      <c r="G83" t="s">
        <v>1357</v>
      </c>
      <c r="H83" t="s">
        <v>1351</v>
      </c>
      <c r="I83">
        <v>210025000</v>
      </c>
      <c r="J83" cm="1">
        <f t="array" ref="J83">INDEX(targets!C:C,
 MATCH(1,
  (targets!A:A='Data Olahan'!H112)*(targets!B:B=F83),
  0
 )
)</f>
        <v>586356936</v>
      </c>
      <c r="K83" s="5">
        <f t="shared" si="0"/>
        <v>0.35818626352873911</v>
      </c>
      <c r="L83" t="str">
        <f t="shared" si="1"/>
        <v>Not Achieved</v>
      </c>
      <c r="N83" s="3" t="s">
        <v>29</v>
      </c>
      <c r="O83">
        <v>12</v>
      </c>
      <c r="P83">
        <v>12</v>
      </c>
    </row>
    <row r="84" spans="1:16" hidden="1" x14ac:dyDescent="0.3">
      <c r="A84" t="s">
        <v>18</v>
      </c>
      <c r="B84" t="s">
        <v>1357</v>
      </c>
      <c r="C84" t="s">
        <v>1347</v>
      </c>
      <c r="D84" s="10">
        <v>206910000</v>
      </c>
      <c r="F84" t="s">
        <v>29</v>
      </c>
      <c r="G84" t="s">
        <v>1357</v>
      </c>
      <c r="H84" t="s">
        <v>1348</v>
      </c>
      <c r="I84">
        <v>206945000</v>
      </c>
      <c r="J84" cm="1">
        <f t="array" ref="J84">INDEX(targets!C:C,
 MATCH(1,
  (targets!A:A='Data Olahan'!H121)*(targets!B:B=F84),
  0
 )
)</f>
        <v>373180748</v>
      </c>
      <c r="K84" s="5">
        <f t="shared" si="0"/>
        <v>0.55454361220155979</v>
      </c>
      <c r="L84" t="str">
        <f t="shared" si="1"/>
        <v>Not Achieved</v>
      </c>
      <c r="N84" s="3" t="s">
        <v>13</v>
      </c>
      <c r="O84">
        <v>12</v>
      </c>
      <c r="P84">
        <v>12</v>
      </c>
    </row>
    <row r="85" spans="1:16" hidden="1" x14ac:dyDescent="0.3">
      <c r="A85" t="s">
        <v>18</v>
      </c>
      <c r="B85" t="s">
        <v>1357</v>
      </c>
      <c r="C85" t="s">
        <v>1348</v>
      </c>
      <c r="D85" s="10">
        <v>191425000</v>
      </c>
      <c r="F85" t="s">
        <v>33</v>
      </c>
      <c r="G85" t="s">
        <v>1357</v>
      </c>
      <c r="H85" t="s">
        <v>1346</v>
      </c>
      <c r="I85">
        <v>182365000</v>
      </c>
      <c r="J85" cm="1">
        <f t="array" ref="J85">INDEX(targets!C:C,
 MATCH(1,
  (targets!A:A='Data Olahan'!H83)*(targets!B:B=F85),
  0
 )
)</f>
        <v>414761700</v>
      </c>
      <c r="K85" s="5">
        <f t="shared" si="0"/>
        <v>0.43968621017803716</v>
      </c>
      <c r="L85" t="str">
        <f t="shared" si="1"/>
        <v>Not Achieved</v>
      </c>
      <c r="N85" s="3" t="s">
        <v>1356</v>
      </c>
      <c r="O85">
        <v>60</v>
      </c>
      <c r="P85">
        <v>60</v>
      </c>
    </row>
    <row r="86" spans="1:16" x14ac:dyDescent="0.3">
      <c r="A86" t="s">
        <v>18</v>
      </c>
      <c r="B86" t="s">
        <v>1357</v>
      </c>
      <c r="C86" t="s">
        <v>1349</v>
      </c>
      <c r="D86" s="10">
        <v>183880000</v>
      </c>
      <c r="F86" t="s">
        <v>13</v>
      </c>
      <c r="G86" t="s">
        <v>1357</v>
      </c>
      <c r="H86" t="s">
        <v>1351</v>
      </c>
      <c r="I86">
        <v>214270000</v>
      </c>
      <c r="J86" cm="1">
        <f t="array" ref="J86">INDEX(targets!C:C,
 MATCH(1,
  (targets!A:A='Data Olahan'!H136)*(targets!B:B=F86),
  0
 )
)</f>
        <v>445304373</v>
      </c>
      <c r="K86" s="5">
        <f t="shared" ref="K86:K117" si="2">IFERROR(I86/J86,0)</f>
        <v>0.48117650082003571</v>
      </c>
      <c r="L86" t="str">
        <f t="shared" ref="L86:L117" si="3">IF(K86&gt;=1,"Achieved","Not Achieved")</f>
        <v>Not Achieved</v>
      </c>
    </row>
    <row r="87" spans="1:16" hidden="1" x14ac:dyDescent="0.3">
      <c r="A87" t="s">
        <v>18</v>
      </c>
      <c r="B87" t="s">
        <v>1357</v>
      </c>
      <c r="C87" t="s">
        <v>1350</v>
      </c>
      <c r="D87" s="10">
        <v>253445000</v>
      </c>
      <c r="F87" t="s">
        <v>18</v>
      </c>
      <c r="G87" t="s">
        <v>1357</v>
      </c>
      <c r="H87" t="s">
        <v>1346</v>
      </c>
      <c r="I87">
        <v>267675000</v>
      </c>
      <c r="J87" cm="1">
        <f t="array" ref="J87">INDEX(targets!C:C,
 MATCH(1,
  (targets!A:A='Data Olahan'!H95)*(targets!B:B=F87),
  0
 )
)</f>
        <v>555148440</v>
      </c>
      <c r="K87" s="5">
        <f t="shared" si="2"/>
        <v>0.48216833681456439</v>
      </c>
      <c r="L87" t="str">
        <f t="shared" si="3"/>
        <v>Not Achieved</v>
      </c>
    </row>
    <row r="88" spans="1:16" x14ac:dyDescent="0.3">
      <c r="A88" t="s">
        <v>18</v>
      </c>
      <c r="B88" t="s">
        <v>1357</v>
      </c>
      <c r="C88" t="s">
        <v>1351</v>
      </c>
      <c r="D88" s="10">
        <v>71005000</v>
      </c>
      <c r="F88" t="s">
        <v>13</v>
      </c>
      <c r="G88" t="s">
        <v>1357</v>
      </c>
      <c r="H88" t="s">
        <v>1353</v>
      </c>
      <c r="I88">
        <v>212735000</v>
      </c>
      <c r="J88" cm="1">
        <f t="array" ref="J88">INDEX(targets!C:C,
 MATCH(1,
  (targets!A:A='Data Olahan'!H138)*(targets!B:B=F88),
  0
 )
)</f>
        <v>470253837</v>
      </c>
      <c r="K88" s="5">
        <f t="shared" si="2"/>
        <v>0.45238333695935373</v>
      </c>
      <c r="L88" t="str">
        <f t="shared" si="3"/>
        <v>Not Achieved</v>
      </c>
    </row>
    <row r="89" spans="1:16" hidden="1" x14ac:dyDescent="0.3">
      <c r="A89" t="s">
        <v>18</v>
      </c>
      <c r="B89" t="s">
        <v>1357</v>
      </c>
      <c r="C89" t="s">
        <v>1352</v>
      </c>
      <c r="D89" s="10">
        <v>172350000</v>
      </c>
      <c r="F89" t="s">
        <v>22</v>
      </c>
      <c r="G89" t="s">
        <v>1357</v>
      </c>
      <c r="H89" t="s">
        <v>1344</v>
      </c>
      <c r="I89">
        <v>170395000</v>
      </c>
      <c r="J89" cm="1">
        <f t="array" ref="J89">INDEX(targets!C:C,
 MATCH(1,
  (targets!A:A='Data Olahan'!H105)*(targets!B:B=F89),
  0
 )
)</f>
        <v>581403803</v>
      </c>
      <c r="K89" s="5">
        <f t="shared" si="2"/>
        <v>0.29307513834752125</v>
      </c>
      <c r="L89" t="str">
        <f t="shared" si="3"/>
        <v>Not Achieved</v>
      </c>
      <c r="N89" s="2" t="s">
        <v>1355</v>
      </c>
      <c r="O89" t="s">
        <v>1371</v>
      </c>
    </row>
    <row r="90" spans="1:16" hidden="1" x14ac:dyDescent="0.3">
      <c r="A90" t="s">
        <v>18</v>
      </c>
      <c r="B90" t="s">
        <v>1357</v>
      </c>
      <c r="C90" t="s">
        <v>1353</v>
      </c>
      <c r="D90" s="10">
        <v>113150000</v>
      </c>
      <c r="F90" t="s">
        <v>18</v>
      </c>
      <c r="G90" t="s">
        <v>1357</v>
      </c>
      <c r="H90" t="s">
        <v>1347</v>
      </c>
      <c r="I90">
        <v>206910000</v>
      </c>
      <c r="J90" cm="1">
        <f t="array" ref="J90">INDEX(targets!C:C,
 MATCH(1,
  (targets!A:A='Data Olahan'!H96)*(targets!B:B=F90),
  0
 )
)</f>
        <v>456941698</v>
      </c>
      <c r="K90" s="5">
        <f t="shared" si="2"/>
        <v>0.45281487967858869</v>
      </c>
      <c r="L90" t="str">
        <f t="shared" si="3"/>
        <v>Not Achieved</v>
      </c>
      <c r="N90" s="3" t="s">
        <v>13</v>
      </c>
      <c r="O90" s="6">
        <v>0.45677674656538936</v>
      </c>
    </row>
    <row r="91" spans="1:16" x14ac:dyDescent="0.3">
      <c r="A91" t="s">
        <v>1359</v>
      </c>
      <c r="D91" s="10">
        <v>2062770000</v>
      </c>
      <c r="F91" t="s">
        <v>13</v>
      </c>
      <c r="G91" t="s">
        <v>1357</v>
      </c>
      <c r="H91" t="s">
        <v>1348</v>
      </c>
      <c r="I91">
        <v>209330000</v>
      </c>
      <c r="J91" cm="1">
        <f t="array" ref="J91">INDEX(targets!C:C,
 MATCH(1,
  (targets!A:A='Data Olahan'!H133)*(targets!B:B=F91),
  0
 )
)</f>
        <v>497321332</v>
      </c>
      <c r="K91" s="5">
        <f t="shared" si="2"/>
        <v>0.4209149829913188</v>
      </c>
      <c r="L91" t="str">
        <f t="shared" si="3"/>
        <v>Not Achieved</v>
      </c>
      <c r="N91" s="3" t="s">
        <v>22</v>
      </c>
      <c r="O91" s="6">
        <v>0.39727790907177324</v>
      </c>
    </row>
    <row r="92" spans="1:16" x14ac:dyDescent="0.3">
      <c r="A92" t="s">
        <v>1356</v>
      </c>
      <c r="D92" s="10">
        <v>2062770000</v>
      </c>
      <c r="F92" t="s">
        <v>13</v>
      </c>
      <c r="G92" t="s">
        <v>1357</v>
      </c>
      <c r="H92" t="s">
        <v>1350</v>
      </c>
      <c r="I92">
        <v>195540000</v>
      </c>
      <c r="J92" cm="1">
        <f t="array" ref="J92">INDEX(targets!C:C,
 MATCH(1,
  (targets!A:A='Data Olahan'!H135)*(targets!B:B=F92),
  0
 )
)</f>
        <v>350125110</v>
      </c>
      <c r="K92" s="5">
        <f t="shared" si="2"/>
        <v>0.55848607944742956</v>
      </c>
      <c r="L92" t="str">
        <f t="shared" si="3"/>
        <v>Not Achieved</v>
      </c>
      <c r="N92" s="3" t="s">
        <v>29</v>
      </c>
      <c r="O92" s="6">
        <v>0.38930814621979981</v>
      </c>
    </row>
    <row r="93" spans="1:16" x14ac:dyDescent="0.3">
      <c r="F93" t="s">
        <v>13</v>
      </c>
      <c r="G93" t="s">
        <v>1357</v>
      </c>
      <c r="H93" t="s">
        <v>1352</v>
      </c>
      <c r="I93">
        <v>175595000</v>
      </c>
      <c r="J93" cm="1">
        <f t="array" ref="J93">INDEX(targets!C:C,
 MATCH(1,
  (targets!A:A='Data Olahan'!H137)*(targets!B:B=F93),
  0
 )
)</f>
        <v>322869545</v>
      </c>
      <c r="K93" s="5">
        <f t="shared" si="2"/>
        <v>0.54385742699888273</v>
      </c>
      <c r="L93" t="str">
        <f t="shared" si="3"/>
        <v>Not Achieved</v>
      </c>
      <c r="N93" s="3" t="s">
        <v>18</v>
      </c>
      <c r="O93" s="6">
        <v>0.35685703466771335</v>
      </c>
    </row>
    <row r="94" spans="1:16" hidden="1" x14ac:dyDescent="0.3">
      <c r="F94" t="s">
        <v>22</v>
      </c>
      <c r="G94" t="s">
        <v>1357</v>
      </c>
      <c r="H94" t="s">
        <v>1343</v>
      </c>
      <c r="I94">
        <v>175955000</v>
      </c>
      <c r="J94" cm="1">
        <f t="array" ref="J94">INDEX(targets!C:C,
 MATCH(1,
  (targets!A:A='Data Olahan'!H104)*(targets!B:B=F94),
  0
 )
)</f>
        <v>323811309</v>
      </c>
      <c r="K94" s="5">
        <f t="shared" si="2"/>
        <v>0.54338744543353801</v>
      </c>
      <c r="L94" t="str">
        <f t="shared" si="3"/>
        <v>Not Achieved</v>
      </c>
      <c r="N94" s="3" t="s">
        <v>33</v>
      </c>
      <c r="O94" s="6">
        <v>0.29891723693598521</v>
      </c>
    </row>
    <row r="95" spans="1:16" hidden="1" x14ac:dyDescent="0.3">
      <c r="F95" t="s">
        <v>29</v>
      </c>
      <c r="G95" t="s">
        <v>1357</v>
      </c>
      <c r="H95" t="s">
        <v>1343</v>
      </c>
      <c r="I95">
        <v>189475000</v>
      </c>
      <c r="J95" cm="1">
        <f t="array" ref="J95">INDEX(targets!C:C,
 MATCH(1,
  (targets!A:A='Data Olahan'!H116)*(targets!B:B=F95),
  0
 )
)</f>
        <v>426869098</v>
      </c>
      <c r="K95" s="5">
        <f t="shared" si="2"/>
        <v>0.44387143714019794</v>
      </c>
      <c r="L95" t="str">
        <f t="shared" si="3"/>
        <v>Not Achieved</v>
      </c>
      <c r="N95" s="3" t="s">
        <v>1356</v>
      </c>
      <c r="O95" s="6">
        <v>0.3798274146921321</v>
      </c>
    </row>
    <row r="96" spans="1:16" x14ac:dyDescent="0.3">
      <c r="F96" t="s">
        <v>13</v>
      </c>
      <c r="G96" t="s">
        <v>1357</v>
      </c>
      <c r="H96" t="s">
        <v>1344</v>
      </c>
      <c r="I96">
        <v>172980000</v>
      </c>
      <c r="J96" cm="1">
        <f t="array" ref="J96">INDEX(targets!C:C,
 MATCH(1,
  (targets!A:A='Data Olahan'!H129)*(targets!B:B=F96),
  0
 )
)</f>
        <v>313079705</v>
      </c>
      <c r="K96" s="5">
        <f t="shared" si="2"/>
        <v>0.55251106104114922</v>
      </c>
      <c r="L96" t="str">
        <f t="shared" si="3"/>
        <v>Not Achieved</v>
      </c>
    </row>
    <row r="97" spans="6:17" hidden="1" x14ac:dyDescent="0.3">
      <c r="F97" t="s">
        <v>33</v>
      </c>
      <c r="G97" t="s">
        <v>1357</v>
      </c>
      <c r="H97" t="s">
        <v>1351</v>
      </c>
      <c r="I97">
        <v>147310000</v>
      </c>
      <c r="J97" cm="1">
        <f t="array" ref="J97">INDEX(targets!C:C,
 MATCH(1,
  (targets!A:A='Data Olahan'!H88)*(targets!B:B=F97),
  0
 )
)</f>
        <v>492394117</v>
      </c>
      <c r="K97" s="5">
        <f t="shared" si="2"/>
        <v>0.29917091799859991</v>
      </c>
      <c r="L97" t="str">
        <f t="shared" si="3"/>
        <v>Not Achieved</v>
      </c>
    </row>
    <row r="98" spans="6:17" hidden="1" x14ac:dyDescent="0.3">
      <c r="F98" t="s">
        <v>18</v>
      </c>
      <c r="G98" t="s">
        <v>1357</v>
      </c>
      <c r="H98" t="s">
        <v>1348</v>
      </c>
      <c r="I98">
        <v>191425000</v>
      </c>
      <c r="J98" cm="1">
        <f t="array" ref="J98">INDEX(targets!C:C,
 MATCH(1,
  (targets!A:A='Data Olahan'!H97)*(targets!B:B=F98),
  0
 )
)</f>
        <v>450598722</v>
      </c>
      <c r="K98" s="5">
        <f t="shared" si="2"/>
        <v>0.42482366383631243</v>
      </c>
      <c r="L98" t="str">
        <f t="shared" si="3"/>
        <v>Not Achieved</v>
      </c>
    </row>
    <row r="99" spans="6:17" x14ac:dyDescent="0.3">
      <c r="F99" t="s">
        <v>13</v>
      </c>
      <c r="G99" t="s">
        <v>1357</v>
      </c>
      <c r="H99" t="s">
        <v>1342</v>
      </c>
      <c r="I99">
        <v>171660000</v>
      </c>
      <c r="J99" cm="1">
        <f t="array" ref="J99">INDEX(targets!C:C,
 MATCH(1,
  (targets!A:A='Data Olahan'!H127)*(targets!B:B=F99),
  0
 )
)</f>
        <v>313079705</v>
      </c>
      <c r="K99" s="5">
        <f t="shared" si="2"/>
        <v>0.54829488228884082</v>
      </c>
      <c r="L99" t="str">
        <f t="shared" si="3"/>
        <v>Not Achieved</v>
      </c>
    </row>
    <row r="100" spans="6:17" hidden="1" x14ac:dyDescent="0.3">
      <c r="F100" t="s">
        <v>29</v>
      </c>
      <c r="G100" t="s">
        <v>1357</v>
      </c>
      <c r="H100" t="s">
        <v>1342</v>
      </c>
      <c r="I100">
        <v>150835000</v>
      </c>
      <c r="J100" cm="1">
        <f t="array" ref="J100">INDEX(targets!C:C,
 MATCH(1,
  (targets!A:A='Data Olahan'!H115)*(targets!B:B=F100),
  0
 )
)</f>
        <v>327980786</v>
      </c>
      <c r="K100" s="5">
        <f t="shared" si="2"/>
        <v>0.45988974488279932</v>
      </c>
      <c r="L100" t="str">
        <f t="shared" si="3"/>
        <v>Not Achieved</v>
      </c>
    </row>
    <row r="101" spans="6:17" hidden="1" x14ac:dyDescent="0.3">
      <c r="F101" t="s">
        <v>18</v>
      </c>
      <c r="G101" t="s">
        <v>1357</v>
      </c>
      <c r="H101" t="s">
        <v>1349</v>
      </c>
      <c r="I101">
        <v>183880000</v>
      </c>
      <c r="J101" cm="1">
        <f t="array" ref="J101">INDEX(targets!C:C,
 MATCH(1,
  (targets!A:A='Data Olahan'!H98)*(targets!B:B=F101),
  0
 )
)</f>
        <v>477049986</v>
      </c>
      <c r="K101" s="5">
        <f t="shared" si="2"/>
        <v>0.38545226998497384</v>
      </c>
      <c r="L101" t="str">
        <f t="shared" si="3"/>
        <v>Not Achieved</v>
      </c>
      <c r="N101" s="2" t="s">
        <v>5</v>
      </c>
      <c r="O101" s="2" t="s">
        <v>1340</v>
      </c>
      <c r="P101" t="s">
        <v>1373</v>
      </c>
      <c r="Q101" t="s">
        <v>1374</v>
      </c>
    </row>
    <row r="102" spans="6:17" hidden="1" x14ac:dyDescent="0.3">
      <c r="F102" t="s">
        <v>22</v>
      </c>
      <c r="G102" t="s">
        <v>1357</v>
      </c>
      <c r="H102" t="s">
        <v>1342</v>
      </c>
      <c r="I102">
        <v>234810000</v>
      </c>
      <c r="J102" cm="1">
        <f t="array" ref="J102">INDEX(targets!C:C,
 MATCH(1,
  (targets!A:A='Data Olahan'!H103)*(targets!B:B=F102),
  0
 )
)</f>
        <v>586356936</v>
      </c>
      <c r="K102" s="5">
        <f t="shared" si="2"/>
        <v>0.40045573878911189</v>
      </c>
      <c r="L102" t="str">
        <f t="shared" si="3"/>
        <v>Not Achieved</v>
      </c>
      <c r="N102" t="s">
        <v>33</v>
      </c>
      <c r="O102" t="s">
        <v>1342</v>
      </c>
      <c r="P102">
        <v>148270000</v>
      </c>
      <c r="Q102">
        <v>494429768</v>
      </c>
    </row>
    <row r="103" spans="6:17" hidden="1" x14ac:dyDescent="0.3">
      <c r="F103" t="s">
        <v>18</v>
      </c>
      <c r="G103" t="s">
        <v>1357</v>
      </c>
      <c r="H103" t="s">
        <v>1342</v>
      </c>
      <c r="I103">
        <v>194220000</v>
      </c>
      <c r="J103" cm="1">
        <f t="array" ref="J103">INDEX(targets!C:C,
 MATCH(1,
  (targets!A:A='Data Olahan'!H91)*(targets!B:B=F103),
  0
 )
)</f>
        <v>477049986</v>
      </c>
      <c r="K103" s="5">
        <f t="shared" si="2"/>
        <v>0.40712714746835776</v>
      </c>
      <c r="L103" t="str">
        <f t="shared" si="3"/>
        <v>Not Achieved</v>
      </c>
      <c r="O103" s="7" t="s">
        <v>1343</v>
      </c>
      <c r="P103">
        <v>114450000</v>
      </c>
      <c r="Q103">
        <v>438202318</v>
      </c>
    </row>
    <row r="104" spans="6:17" hidden="1" x14ac:dyDescent="0.3">
      <c r="F104" t="s">
        <v>29</v>
      </c>
      <c r="G104" t="s">
        <v>1357</v>
      </c>
      <c r="H104" t="s">
        <v>1349</v>
      </c>
      <c r="I104">
        <v>191045000</v>
      </c>
      <c r="J104" cm="1">
        <f t="array" ref="J104">INDEX(targets!C:C,
 MATCH(1,
  (targets!A:A='Data Olahan'!H122)*(targets!B:B=F104),
  0
 )
)</f>
        <v>445738123</v>
      </c>
      <c r="K104" s="5">
        <f t="shared" si="2"/>
        <v>0.42860368037220814</v>
      </c>
      <c r="L104" t="str">
        <f t="shared" si="3"/>
        <v>Not Achieved</v>
      </c>
      <c r="O104" t="s">
        <v>1344</v>
      </c>
      <c r="P104">
        <v>110750000</v>
      </c>
      <c r="Q104">
        <v>534429847</v>
      </c>
    </row>
    <row r="105" spans="6:17" hidden="1" x14ac:dyDescent="0.3">
      <c r="F105" t="s">
        <v>18</v>
      </c>
      <c r="G105" t="s">
        <v>1357</v>
      </c>
      <c r="H105" t="s">
        <v>1345</v>
      </c>
      <c r="I105">
        <v>178305000</v>
      </c>
      <c r="J105" cm="1">
        <f t="array" ref="J105">INDEX(targets!C:C,
 MATCH(1,
  (targets!A:A='Data Olahan'!H94)*(targets!B:B=F105),
  0
 )
)</f>
        <v>555148440</v>
      </c>
      <c r="K105" s="5">
        <f t="shared" si="2"/>
        <v>0.32118436647322651</v>
      </c>
      <c r="L105" t="str">
        <f t="shared" si="3"/>
        <v>Not Achieved</v>
      </c>
      <c r="O105" t="s">
        <v>1345</v>
      </c>
      <c r="P105">
        <v>179705000</v>
      </c>
      <c r="Q105">
        <v>534429847</v>
      </c>
    </row>
    <row r="106" spans="6:17" hidden="1" x14ac:dyDescent="0.3">
      <c r="F106" t="s">
        <v>29</v>
      </c>
      <c r="G106" t="s">
        <v>1357</v>
      </c>
      <c r="H106" t="s">
        <v>1352</v>
      </c>
      <c r="I106">
        <v>168265000</v>
      </c>
      <c r="J106" cm="1">
        <f t="array" ref="J106">INDEX(targets!C:C,
 MATCH(1,
  (targets!A:A='Data Olahan'!H125)*(targets!B:B=F106),
  0
 )
)</f>
        <v>377540700</v>
      </c>
      <c r="K106" s="5">
        <f t="shared" si="2"/>
        <v>0.44568704778054391</v>
      </c>
      <c r="L106" t="str">
        <f t="shared" si="3"/>
        <v>Not Achieved</v>
      </c>
      <c r="O106" t="s">
        <v>1346</v>
      </c>
      <c r="P106">
        <v>182365000</v>
      </c>
      <c r="Q106">
        <v>414761700</v>
      </c>
    </row>
    <row r="107" spans="6:17" x14ac:dyDescent="0.3">
      <c r="F107" t="s">
        <v>13</v>
      </c>
      <c r="G107" t="s">
        <v>1357</v>
      </c>
      <c r="H107" t="s">
        <v>1349</v>
      </c>
      <c r="I107">
        <v>171540000</v>
      </c>
      <c r="J107" cm="1">
        <f t="array" ref="J107">INDEX(targets!C:C,
 MATCH(1,
  (targets!A:A='Data Olahan'!H134)*(targets!B:B=F107),
  0
 )
)</f>
        <v>354735349</v>
      </c>
      <c r="K107" s="5">
        <f t="shared" si="2"/>
        <v>0.48357176831565213</v>
      </c>
      <c r="L107" t="str">
        <f t="shared" si="3"/>
        <v>Not Achieved</v>
      </c>
      <c r="O107" t="s">
        <v>1347</v>
      </c>
      <c r="P107">
        <v>131350000</v>
      </c>
      <c r="Q107">
        <v>516629413</v>
      </c>
    </row>
    <row r="108" spans="6:17" hidden="1" x14ac:dyDescent="0.3">
      <c r="F108" t="s">
        <v>22</v>
      </c>
      <c r="G108" t="s">
        <v>1357</v>
      </c>
      <c r="H108" t="s">
        <v>1348</v>
      </c>
      <c r="I108">
        <v>209955000</v>
      </c>
      <c r="J108" cm="1">
        <f t="array" ref="J108">INDEX(targets!C:C,
 MATCH(1,
  (targets!A:A='Data Olahan'!H109)*(targets!B:B=F108),
  0
 )
)</f>
        <v>556351160</v>
      </c>
      <c r="K108" s="5">
        <f t="shared" si="2"/>
        <v>0.37737856069177605</v>
      </c>
      <c r="L108" t="str">
        <f t="shared" si="3"/>
        <v>Not Achieved</v>
      </c>
      <c r="O108" t="s">
        <v>1348</v>
      </c>
      <c r="P108">
        <v>177560000</v>
      </c>
      <c r="Q108">
        <v>494429768</v>
      </c>
    </row>
    <row r="109" spans="6:17" hidden="1" x14ac:dyDescent="0.3">
      <c r="F109" t="s">
        <v>33</v>
      </c>
      <c r="G109" t="s">
        <v>1357</v>
      </c>
      <c r="H109" t="s">
        <v>1347</v>
      </c>
      <c r="I109">
        <v>131350000</v>
      </c>
      <c r="J109" cm="1">
        <f t="array" ref="J109">INDEX(targets!C:C,
 MATCH(1,
  (targets!A:A='Data Olahan'!H84)*(targets!B:B=F109),
  0
 )
)</f>
        <v>516629413</v>
      </c>
      <c r="K109" s="5">
        <f t="shared" si="2"/>
        <v>0.25424413843816518</v>
      </c>
      <c r="L109" t="str">
        <f t="shared" si="3"/>
        <v>Not Achieved</v>
      </c>
      <c r="O109" t="s">
        <v>1349</v>
      </c>
      <c r="P109">
        <v>66890000</v>
      </c>
      <c r="Q109">
        <v>492394117</v>
      </c>
    </row>
    <row r="110" spans="6:17" hidden="1" x14ac:dyDescent="0.3">
      <c r="F110" t="s">
        <v>33</v>
      </c>
      <c r="G110" t="s">
        <v>1357</v>
      </c>
      <c r="H110" t="s">
        <v>1345</v>
      </c>
      <c r="I110">
        <v>179705000</v>
      </c>
      <c r="J110" cm="1">
        <f t="array" ref="J110">INDEX(targets!C:C,
 MATCH(1,
  (targets!A:A='Data Olahan'!H82)*(targets!B:B=F110),
  0
 )
)</f>
        <v>534429847</v>
      </c>
      <c r="K110" s="5">
        <f t="shared" si="2"/>
        <v>0.3362555459968537</v>
      </c>
      <c r="L110" t="str">
        <f t="shared" si="3"/>
        <v>Not Achieved</v>
      </c>
      <c r="O110" t="s">
        <v>1350</v>
      </c>
      <c r="P110">
        <v>105470000</v>
      </c>
      <c r="Q110">
        <v>494429768</v>
      </c>
    </row>
    <row r="111" spans="6:17" hidden="1" x14ac:dyDescent="0.3">
      <c r="F111" t="s">
        <v>33</v>
      </c>
      <c r="G111" t="s">
        <v>1357</v>
      </c>
      <c r="H111" t="s">
        <v>1353</v>
      </c>
      <c r="I111">
        <v>176845000</v>
      </c>
      <c r="J111" cm="1">
        <f t="array" ref="J111">INDEX(targets!C:C,
 MATCH(1,
  (targets!A:A='Data Olahan'!H90)*(targets!B:B=F111),
  0
 )
)</f>
        <v>438202318</v>
      </c>
      <c r="K111" s="5">
        <f t="shared" si="2"/>
        <v>0.40356929376170025</v>
      </c>
      <c r="L111" t="str">
        <f t="shared" si="3"/>
        <v>Not Achieved</v>
      </c>
      <c r="O111" t="s">
        <v>1351</v>
      </c>
      <c r="P111">
        <v>147310000</v>
      </c>
      <c r="Q111">
        <v>441380318</v>
      </c>
    </row>
    <row r="112" spans="6:17" hidden="1" x14ac:dyDescent="0.3">
      <c r="F112" t="s">
        <v>33</v>
      </c>
      <c r="G112" t="s">
        <v>1357</v>
      </c>
      <c r="H112" t="s">
        <v>1342</v>
      </c>
      <c r="I112">
        <v>148270000</v>
      </c>
      <c r="J112" cm="1">
        <f t="array" ref="J112">INDEX(targets!C:C,
 MATCH(1,
  (targets!A:A='Data Olahan'!H79)*(targets!B:B=F112),
  0
 )
)</f>
        <v>494429768</v>
      </c>
      <c r="K112" s="5">
        <f t="shared" si="2"/>
        <v>0.29988081138350875</v>
      </c>
      <c r="L112" t="str">
        <f t="shared" si="3"/>
        <v>Not Achieved</v>
      </c>
      <c r="O112" t="s">
        <v>1352</v>
      </c>
      <c r="P112">
        <v>129000000</v>
      </c>
      <c r="Q112">
        <v>376172492</v>
      </c>
    </row>
    <row r="113" spans="6:17" x14ac:dyDescent="0.3">
      <c r="F113" t="s">
        <v>13</v>
      </c>
      <c r="G113" t="s">
        <v>1357</v>
      </c>
      <c r="H113" t="s">
        <v>1347</v>
      </c>
      <c r="I113">
        <v>163760000</v>
      </c>
      <c r="J113" cm="1">
        <f t="array" ref="J113">INDEX(targets!C:C,
 MATCH(1,
  (targets!A:A='Data Olahan'!H132)*(targets!B:B=F113),
  0
 )
)</f>
        <v>350125110</v>
      </c>
      <c r="K113" s="5">
        <f t="shared" si="2"/>
        <v>0.46771852495812138</v>
      </c>
      <c r="L113" t="str">
        <f t="shared" si="3"/>
        <v>Not Achieved</v>
      </c>
      <c r="O113" t="s">
        <v>1353</v>
      </c>
      <c r="P113">
        <v>176845000</v>
      </c>
      <c r="Q113">
        <v>438202318</v>
      </c>
    </row>
    <row r="114" spans="6:17" x14ac:dyDescent="0.3">
      <c r="F114" t="s">
        <v>13</v>
      </c>
      <c r="G114" t="s">
        <v>1357</v>
      </c>
      <c r="H114" t="s">
        <v>1343</v>
      </c>
      <c r="I114">
        <v>156230000</v>
      </c>
      <c r="J114" cm="1">
        <f t="array" ref="J114">INDEX(targets!C:C,
 MATCH(1,
  (targets!A:A='Data Olahan'!H128)*(targets!B:B=F114),
  0
 )
)</f>
        <v>350125110</v>
      </c>
      <c r="K114" s="5">
        <f t="shared" si="2"/>
        <v>0.44621192693091905</v>
      </c>
      <c r="L114" t="str">
        <f t="shared" si="3"/>
        <v>Not Achieved</v>
      </c>
      <c r="N114" t="s">
        <v>1358</v>
      </c>
      <c r="P114">
        <v>1669965000</v>
      </c>
      <c r="Q114">
        <v>5669891674</v>
      </c>
    </row>
    <row r="115" spans="6:17" hidden="1" x14ac:dyDescent="0.3">
      <c r="F115" t="s">
        <v>29</v>
      </c>
      <c r="G115" t="s">
        <v>1357</v>
      </c>
      <c r="H115" t="s">
        <v>1351</v>
      </c>
      <c r="I115">
        <v>149015000</v>
      </c>
      <c r="J115" cm="1">
        <f t="array" ref="J115">INDEX(targets!C:C,
 MATCH(1,
  (targets!A:A='Data Olahan'!H124)*(targets!B:B=F115),
  0
 )
)</f>
        <v>373180748</v>
      </c>
      <c r="K115" s="5">
        <f t="shared" si="2"/>
        <v>0.39931052391802374</v>
      </c>
      <c r="L115" t="str">
        <f t="shared" si="3"/>
        <v>Not Achieved</v>
      </c>
      <c r="N115" t="s">
        <v>18</v>
      </c>
      <c r="O115" t="s">
        <v>1342</v>
      </c>
      <c r="P115">
        <v>194220000</v>
      </c>
      <c r="Q115">
        <v>555148440</v>
      </c>
    </row>
    <row r="116" spans="6:17" hidden="1" x14ac:dyDescent="0.3">
      <c r="F116" t="s">
        <v>33</v>
      </c>
      <c r="G116" t="s">
        <v>1357</v>
      </c>
      <c r="H116" t="s">
        <v>1348</v>
      </c>
      <c r="I116">
        <v>177560000</v>
      </c>
      <c r="J116" cm="1">
        <f t="array" ref="J116">INDEX(targets!C:C,
 MATCH(1,
  (targets!A:A='Data Olahan'!H85)*(targets!B:B=F116),
  0
 )
)</f>
        <v>494429768</v>
      </c>
      <c r="K116" s="5">
        <f t="shared" si="2"/>
        <v>0.35912077203248005</v>
      </c>
      <c r="L116" t="str">
        <f t="shared" si="3"/>
        <v>Not Achieved</v>
      </c>
      <c r="O116" t="s">
        <v>1343</v>
      </c>
      <c r="P116">
        <v>128775000</v>
      </c>
      <c r="Q116">
        <v>512756543</v>
      </c>
    </row>
    <row r="117" spans="6:17" hidden="1" x14ac:dyDescent="0.3">
      <c r="F117" t="s">
        <v>22</v>
      </c>
      <c r="G117" t="s">
        <v>1357</v>
      </c>
      <c r="H117" t="s">
        <v>1349</v>
      </c>
      <c r="I117">
        <v>129575000</v>
      </c>
      <c r="J117" cm="1">
        <f t="array" ref="J117">INDEX(targets!C:C,
 MATCH(1,
  (targets!A:A='Data Olahan'!H110)*(targets!B:B=F117),
  0
 )
)</f>
        <v>581403803</v>
      </c>
      <c r="K117" s="5">
        <f t="shared" si="2"/>
        <v>0.22286575927333588</v>
      </c>
      <c r="L117" t="str">
        <f t="shared" si="3"/>
        <v>Not Achieved</v>
      </c>
      <c r="O117" t="s">
        <v>1344</v>
      </c>
      <c r="P117">
        <v>101630000</v>
      </c>
      <c r="Q117">
        <v>456018469</v>
      </c>
    </row>
    <row r="118" spans="6:17" hidden="1" x14ac:dyDescent="0.3">
      <c r="F118" t="s">
        <v>18</v>
      </c>
      <c r="G118" t="s">
        <v>1357</v>
      </c>
      <c r="H118" t="s">
        <v>1352</v>
      </c>
      <c r="I118">
        <v>172350000</v>
      </c>
      <c r="J118" cm="1">
        <f t="array" ref="J118">INDEX(targets!C:C,
 MATCH(1,
  (targets!A:A='Data Olahan'!H101)*(targets!B:B=F118),
  0
 )
)</f>
        <v>512756543</v>
      </c>
      <c r="K118" s="5">
        <f t="shared" ref="K118:K136" si="4">IFERROR(I118/J118,0)</f>
        <v>0.33612442854776015</v>
      </c>
      <c r="L118" t="str">
        <f t="shared" ref="L118:L136" si="5">IF(K118&gt;=1,"Achieved","Not Achieved")</f>
        <v>Not Achieved</v>
      </c>
      <c r="O118" t="s">
        <v>1345</v>
      </c>
      <c r="P118">
        <v>178305000</v>
      </c>
      <c r="Q118">
        <v>555148440</v>
      </c>
    </row>
    <row r="119" spans="6:17" hidden="1" x14ac:dyDescent="0.3">
      <c r="F119" t="s">
        <v>22</v>
      </c>
      <c r="G119" t="s">
        <v>1357</v>
      </c>
      <c r="H119" t="s">
        <v>1345</v>
      </c>
      <c r="I119">
        <v>171145000</v>
      </c>
      <c r="J119" cm="1">
        <f t="array" ref="J119">INDEX(targets!C:C,
 MATCH(1,
  (targets!A:A='Data Olahan'!H106)*(targets!B:B=F119),
  0
 )
)</f>
        <v>313993616</v>
      </c>
      <c r="K119" s="5">
        <f t="shared" si="4"/>
        <v>0.54505885240673169</v>
      </c>
      <c r="L119" t="str">
        <f t="shared" si="5"/>
        <v>Not Achieved</v>
      </c>
      <c r="O119" t="s">
        <v>1346</v>
      </c>
      <c r="P119">
        <v>267675000</v>
      </c>
      <c r="Q119">
        <v>555148440</v>
      </c>
    </row>
    <row r="120" spans="6:17" hidden="1" x14ac:dyDescent="0.3">
      <c r="F120" t="s">
        <v>29</v>
      </c>
      <c r="G120" t="s">
        <v>1357</v>
      </c>
      <c r="H120" t="s">
        <v>1353</v>
      </c>
      <c r="I120">
        <v>148615000</v>
      </c>
      <c r="J120" cm="1">
        <f t="array" ref="J120">INDEX(targets!C:C,
 MATCH(1,
  (targets!A:A='Data Olahan'!H126)*(targets!B:B=F120),
  0
 )
)</f>
        <v>533058667</v>
      </c>
      <c r="K120" s="5">
        <f t="shared" si="4"/>
        <v>0.27879670512889343</v>
      </c>
      <c r="L120" t="str">
        <f t="shared" si="5"/>
        <v>Not Achieved</v>
      </c>
      <c r="O120" t="s">
        <v>1347</v>
      </c>
      <c r="P120">
        <v>206910000</v>
      </c>
      <c r="Q120">
        <v>477049986</v>
      </c>
    </row>
    <row r="121" spans="6:17" hidden="1" x14ac:dyDescent="0.3">
      <c r="F121" t="s">
        <v>22</v>
      </c>
      <c r="G121" t="s">
        <v>1357</v>
      </c>
      <c r="H121" t="s">
        <v>1352</v>
      </c>
      <c r="I121">
        <v>95485000</v>
      </c>
      <c r="J121" cm="1">
        <f t="array" ref="J121">INDEX(targets!C:C,
 MATCH(1,
  (targets!A:A='Data Olahan'!H113)*(targets!B:B=F121),
  0
 )
)</f>
        <v>556351160</v>
      </c>
      <c r="K121" s="5">
        <f t="shared" si="4"/>
        <v>0.17162721472531844</v>
      </c>
      <c r="L121" t="str">
        <f t="shared" si="5"/>
        <v>Not Achieved</v>
      </c>
      <c r="O121" t="s">
        <v>1348</v>
      </c>
      <c r="P121">
        <v>191425000</v>
      </c>
      <c r="Q121">
        <v>450598722</v>
      </c>
    </row>
    <row r="122" spans="6:17" hidden="1" x14ac:dyDescent="0.3">
      <c r="F122" t="s">
        <v>29</v>
      </c>
      <c r="G122" t="s">
        <v>1357</v>
      </c>
      <c r="H122" t="s">
        <v>1350</v>
      </c>
      <c r="I122">
        <v>150905000</v>
      </c>
      <c r="J122" cm="1">
        <f t="array" ref="J122">INDEX(targets!C:C,
 MATCH(1,
  (targets!A:A='Data Olahan'!H123)*(targets!B:B=F122),
  0
 )
)</f>
        <v>445738123</v>
      </c>
      <c r="K122" s="5">
        <f t="shared" si="4"/>
        <v>0.33855080419046857</v>
      </c>
      <c r="L122" t="str">
        <f t="shared" si="5"/>
        <v>Not Achieved</v>
      </c>
      <c r="O122" t="s">
        <v>1349</v>
      </c>
      <c r="P122">
        <v>183880000</v>
      </c>
      <c r="Q122">
        <v>477049986</v>
      </c>
    </row>
    <row r="123" spans="6:17" hidden="1" x14ac:dyDescent="0.3">
      <c r="F123" t="s">
        <v>33</v>
      </c>
      <c r="G123" t="s">
        <v>1357</v>
      </c>
      <c r="H123" t="s">
        <v>1350</v>
      </c>
      <c r="I123">
        <v>105470000</v>
      </c>
      <c r="J123" cm="1">
        <f t="array" ref="J123">INDEX(targets!C:C,
 MATCH(1,
  (targets!A:A='Data Olahan'!H87)*(targets!B:B=F123),
  0
 )
)</f>
        <v>494429768</v>
      </c>
      <c r="K123" s="5">
        <f t="shared" si="4"/>
        <v>0.21331644416684878</v>
      </c>
      <c r="L123" t="str">
        <f t="shared" si="5"/>
        <v>Not Achieved</v>
      </c>
      <c r="O123" t="s">
        <v>1350</v>
      </c>
      <c r="P123">
        <v>253445000</v>
      </c>
      <c r="Q123">
        <v>362719821</v>
      </c>
    </row>
    <row r="124" spans="6:17" hidden="1" x14ac:dyDescent="0.3">
      <c r="F124" t="s">
        <v>33</v>
      </c>
      <c r="G124" t="s">
        <v>1357</v>
      </c>
      <c r="H124" t="s">
        <v>1352</v>
      </c>
      <c r="I124">
        <v>129000000</v>
      </c>
      <c r="J124" cm="1">
        <f t="array" ref="J124">INDEX(targets!C:C,
 MATCH(1,
  (targets!A:A='Data Olahan'!H89)*(targets!B:B=F124),
  0
 )
)</f>
        <v>376172492</v>
      </c>
      <c r="K124" s="5">
        <f t="shared" si="4"/>
        <v>0.34292778643686683</v>
      </c>
      <c r="L124" t="str">
        <f t="shared" si="5"/>
        <v>Not Achieved</v>
      </c>
      <c r="O124" t="s">
        <v>1351</v>
      </c>
      <c r="P124">
        <v>71005000</v>
      </c>
      <c r="Q124">
        <v>489501094</v>
      </c>
    </row>
    <row r="125" spans="6:17" hidden="1" x14ac:dyDescent="0.3">
      <c r="F125" t="s">
        <v>29</v>
      </c>
      <c r="G125" t="s">
        <v>1357</v>
      </c>
      <c r="H125" t="s">
        <v>1346</v>
      </c>
      <c r="I125">
        <v>101955000</v>
      </c>
      <c r="J125" cm="1">
        <f t="array" ref="J125">INDEX(targets!C:C,
 MATCH(1,
  (targets!A:A='Data Olahan'!H119)*(targets!B:B=F125),
  0
 )
)</f>
        <v>481011760</v>
      </c>
      <c r="K125" s="5">
        <f t="shared" si="4"/>
        <v>0.21195947475379812</v>
      </c>
      <c r="L125" t="str">
        <f t="shared" si="5"/>
        <v>Not Achieved</v>
      </c>
      <c r="O125" t="s">
        <v>1352</v>
      </c>
      <c r="P125">
        <v>172350000</v>
      </c>
      <c r="Q125">
        <v>512756543</v>
      </c>
    </row>
    <row r="126" spans="6:17" hidden="1" x14ac:dyDescent="0.3">
      <c r="F126" t="s">
        <v>22</v>
      </c>
      <c r="G126" t="s">
        <v>1357</v>
      </c>
      <c r="H126" t="s">
        <v>1353</v>
      </c>
      <c r="I126">
        <v>158010000</v>
      </c>
      <c r="J126" cm="1">
        <f t="array" ref="J126">INDEX(targets!C:C,
 MATCH(1,
  (targets!A:A='Data Olahan'!H114)*(targets!B:B=F126),
  0
 )
)</f>
        <v>391540199</v>
      </c>
      <c r="K126" s="5">
        <f t="shared" si="4"/>
        <v>0.40356009524324732</v>
      </c>
      <c r="L126" t="str">
        <f t="shared" si="5"/>
        <v>Not Achieved</v>
      </c>
      <c r="O126" t="s">
        <v>1353</v>
      </c>
      <c r="P126">
        <v>113150000</v>
      </c>
      <c r="Q126">
        <v>489501094</v>
      </c>
    </row>
    <row r="127" spans="6:17" hidden="1" x14ac:dyDescent="0.3">
      <c r="F127" t="s">
        <v>18</v>
      </c>
      <c r="G127" t="s">
        <v>1357</v>
      </c>
      <c r="H127" t="s">
        <v>1343</v>
      </c>
      <c r="I127">
        <v>128775000</v>
      </c>
      <c r="J127" cm="1">
        <f t="array" ref="J127">INDEX(targets!C:C,
 MATCH(1,
  (targets!A:A='Data Olahan'!H92)*(targets!B:B=F127),
  0
 )
)</f>
        <v>362719821</v>
      </c>
      <c r="K127" s="5">
        <f t="shared" si="4"/>
        <v>0.35502609050967743</v>
      </c>
      <c r="L127" t="str">
        <f t="shared" si="5"/>
        <v>Not Achieved</v>
      </c>
      <c r="N127" t="s">
        <v>1359</v>
      </c>
      <c r="P127">
        <v>2062770000</v>
      </c>
      <c r="Q127">
        <v>5893397578</v>
      </c>
    </row>
    <row r="128" spans="6:17" hidden="1" x14ac:dyDescent="0.3">
      <c r="F128" t="s">
        <v>33</v>
      </c>
      <c r="G128" t="s">
        <v>1357</v>
      </c>
      <c r="H128" t="s">
        <v>1344</v>
      </c>
      <c r="I128">
        <v>110750000</v>
      </c>
      <c r="J128" cm="1">
        <f t="array" ref="J128">INDEX(targets!C:C,
 MATCH(1,
  (targets!A:A='Data Olahan'!H81)*(targets!B:B=F128),
  0
 )
)</f>
        <v>534429847</v>
      </c>
      <c r="K128" s="5">
        <f t="shared" si="4"/>
        <v>0.20723019236610862</v>
      </c>
      <c r="L128" t="str">
        <f t="shared" si="5"/>
        <v>Not Achieved</v>
      </c>
      <c r="N128" t="s">
        <v>22</v>
      </c>
      <c r="O128" t="s">
        <v>1342</v>
      </c>
      <c r="P128">
        <v>234810000</v>
      </c>
      <c r="Q128">
        <v>586356936</v>
      </c>
    </row>
    <row r="129" spans="6:17" hidden="1" x14ac:dyDescent="0.3">
      <c r="F129" t="s">
        <v>33</v>
      </c>
      <c r="G129" t="s">
        <v>1357</v>
      </c>
      <c r="H129" t="s">
        <v>1343</v>
      </c>
      <c r="I129">
        <v>114450000</v>
      </c>
      <c r="J129" cm="1">
        <f t="array" ref="J129">INDEX(targets!C:C,
 MATCH(1,
  (targets!A:A='Data Olahan'!H80)*(targets!B:B=F129),
  0
 )
)</f>
        <v>438202318</v>
      </c>
      <c r="K129" s="5">
        <f t="shared" si="4"/>
        <v>0.26118072702664252</v>
      </c>
      <c r="L129" t="str">
        <f t="shared" si="5"/>
        <v>Not Achieved</v>
      </c>
      <c r="O129" t="s">
        <v>1343</v>
      </c>
      <c r="P129">
        <v>175955000</v>
      </c>
      <c r="Q129">
        <v>323811309</v>
      </c>
    </row>
    <row r="130" spans="6:17" hidden="1" x14ac:dyDescent="0.3">
      <c r="F130" t="s">
        <v>29</v>
      </c>
      <c r="G130" t="s">
        <v>1357</v>
      </c>
      <c r="H130" t="s">
        <v>1345</v>
      </c>
      <c r="I130">
        <v>100685000</v>
      </c>
      <c r="J130" cm="1">
        <f t="array" ref="J130">INDEX(targets!C:C,
 MATCH(1,
  (targets!A:A='Data Olahan'!H118)*(targets!B:B=F130),
  0
 )
)</f>
        <v>373180748</v>
      </c>
      <c r="K130" s="5">
        <f t="shared" si="4"/>
        <v>0.26980223535004011</v>
      </c>
      <c r="L130" t="str">
        <f t="shared" si="5"/>
        <v>Not Achieved</v>
      </c>
      <c r="O130" t="s">
        <v>1344</v>
      </c>
      <c r="P130">
        <v>170395000</v>
      </c>
      <c r="Q130">
        <v>581403803</v>
      </c>
    </row>
    <row r="131" spans="6:17" x14ac:dyDescent="0.3">
      <c r="F131" t="s">
        <v>13</v>
      </c>
      <c r="G131" t="s">
        <v>1357</v>
      </c>
      <c r="H131" t="s">
        <v>1346</v>
      </c>
      <c r="I131">
        <v>92620000</v>
      </c>
      <c r="J131" cm="1">
        <f t="array" ref="J131">INDEX(targets!C:C,
 MATCH(1,
  (targets!A:A='Data Olahan'!H131)*(targets!B:B=F131),
  0
 )
)</f>
        <v>347981463</v>
      </c>
      <c r="K131" s="5">
        <f t="shared" si="4"/>
        <v>0.26616360308824843</v>
      </c>
      <c r="L131" t="str">
        <f t="shared" si="5"/>
        <v>Not Achieved</v>
      </c>
      <c r="O131" t="s">
        <v>1345</v>
      </c>
      <c r="P131">
        <v>171145000</v>
      </c>
      <c r="Q131">
        <v>313993616</v>
      </c>
    </row>
    <row r="132" spans="6:17" hidden="1" x14ac:dyDescent="0.3">
      <c r="F132" t="s">
        <v>18</v>
      </c>
      <c r="G132" t="s">
        <v>1357</v>
      </c>
      <c r="H132" t="s">
        <v>1344</v>
      </c>
      <c r="I132">
        <v>101630000</v>
      </c>
      <c r="J132" cm="1">
        <f t="array" ref="J132">INDEX(targets!C:C,
 MATCH(1,
  (targets!A:A='Data Olahan'!H93)*(targets!B:B=F132),
  0
 )
)</f>
        <v>391633543</v>
      </c>
      <c r="K132" s="5">
        <f t="shared" si="4"/>
        <v>0.25950279749148047</v>
      </c>
      <c r="L132" t="str">
        <f t="shared" si="5"/>
        <v>Not Achieved</v>
      </c>
      <c r="O132" t="s">
        <v>1346</v>
      </c>
      <c r="P132">
        <v>249765000</v>
      </c>
      <c r="Q132">
        <v>497707145</v>
      </c>
    </row>
    <row r="133" spans="6:17" hidden="1" x14ac:dyDescent="0.3">
      <c r="F133" t="s">
        <v>18</v>
      </c>
      <c r="G133" t="s">
        <v>1357</v>
      </c>
      <c r="H133" t="s">
        <v>1353</v>
      </c>
      <c r="I133">
        <v>113150000</v>
      </c>
      <c r="J133" cm="1">
        <f t="array" ref="J133">INDEX(targets!C:C,
 MATCH(1,
  (targets!A:A='Data Olahan'!H102)*(targets!B:B=F133),
  0
 )
)</f>
        <v>489501094</v>
      </c>
      <c r="K133" s="5">
        <f t="shared" si="4"/>
        <v>0.23115372240618526</v>
      </c>
      <c r="L133" t="str">
        <f t="shared" si="5"/>
        <v>Not Achieved</v>
      </c>
      <c r="O133" t="s">
        <v>1347</v>
      </c>
      <c r="P133">
        <v>105900000</v>
      </c>
      <c r="Q133">
        <v>555825106</v>
      </c>
    </row>
    <row r="134" spans="6:17" hidden="1" x14ac:dyDescent="0.3">
      <c r="F134" t="s">
        <v>22</v>
      </c>
      <c r="G134" t="s">
        <v>1357</v>
      </c>
      <c r="H134" t="s">
        <v>1347</v>
      </c>
      <c r="I134">
        <v>105900000</v>
      </c>
      <c r="J134" cm="1">
        <f t="array" ref="J134">INDEX(targets!C:C,
 MATCH(1,
  (targets!A:A='Data Olahan'!H108)*(targets!B:B=F134),
  0
 )
)</f>
        <v>555825106</v>
      </c>
      <c r="K134" s="5">
        <f t="shared" si="4"/>
        <v>0.19052755778181779</v>
      </c>
      <c r="L134" t="str">
        <f t="shared" si="5"/>
        <v>Not Achieved</v>
      </c>
      <c r="O134" t="s">
        <v>1348</v>
      </c>
      <c r="P134">
        <v>209955000</v>
      </c>
      <c r="Q134">
        <v>556351160</v>
      </c>
    </row>
    <row r="135" spans="6:17" hidden="1" x14ac:dyDescent="0.3">
      <c r="F135" t="s">
        <v>29</v>
      </c>
      <c r="G135" t="s">
        <v>1357</v>
      </c>
      <c r="H135" t="s">
        <v>1344</v>
      </c>
      <c r="I135">
        <v>104315000</v>
      </c>
      <c r="J135" cm="1">
        <f t="array" ref="J135">INDEX(targets!C:C,
 MATCH(1,
  (targets!A:A='Data Olahan'!H117)*(targets!B:B=F135),
  0
 )
)</f>
        <v>306727352</v>
      </c>
      <c r="K135" s="5">
        <f t="shared" si="4"/>
        <v>0.34009030925941031</v>
      </c>
      <c r="L135" t="str">
        <f t="shared" si="5"/>
        <v>Not Achieved</v>
      </c>
      <c r="O135" t="s">
        <v>1349</v>
      </c>
      <c r="P135">
        <v>129575000</v>
      </c>
      <c r="Q135">
        <v>581403803</v>
      </c>
    </row>
    <row r="136" spans="6:17" x14ac:dyDescent="0.3">
      <c r="F136" t="s">
        <v>13</v>
      </c>
      <c r="G136" t="s">
        <v>1357</v>
      </c>
      <c r="H136" t="s">
        <v>1345</v>
      </c>
      <c r="I136">
        <v>81770000</v>
      </c>
      <c r="J136" cm="1">
        <f t="array" ref="J136">INDEX(targets!C:C,
 MATCH(1,
  (targets!A:A='Data Olahan'!H130)*(targets!B:B=F136),
  0
 )
)</f>
        <v>445304373</v>
      </c>
      <c r="K136" s="5">
        <f t="shared" si="4"/>
        <v>0.18362721086505027</v>
      </c>
      <c r="L136" t="str">
        <f t="shared" si="5"/>
        <v>Not Achieved</v>
      </c>
      <c r="O136" t="s">
        <v>1350</v>
      </c>
      <c r="P136">
        <v>211555000</v>
      </c>
      <c r="Q136">
        <v>397170179</v>
      </c>
    </row>
    <row r="137" spans="6:17" hidden="1" x14ac:dyDescent="0.3">
      <c r="F137" t="s">
        <v>33</v>
      </c>
      <c r="G137" t="s">
        <v>1357</v>
      </c>
      <c r="H137" t="s">
        <v>1349</v>
      </c>
      <c r="I137">
        <v>66890000</v>
      </c>
      <c r="J137" cm="1">
        <f t="array" ref="J137">INDEX(targets!C:C,
 MATCH(1,
  (targets!A:A='Data Olahan'!H86)*(targets!B:B=F137),
  0
 )
)</f>
        <v>414761700</v>
      </c>
      <c r="K137" s="5">
        <f t="shared" ref="K137:K138" si="6">IFERROR(I137/J137,0)</f>
        <v>0.16127332875721168</v>
      </c>
      <c r="L137" t="str">
        <f t="shared" ref="L137:L138" si="7">IF(K137&gt;=1,"Achieved","Not Achieved")</f>
        <v>Not Achieved</v>
      </c>
      <c r="O137" t="s">
        <v>1351</v>
      </c>
      <c r="P137">
        <v>210025000</v>
      </c>
      <c r="Q137">
        <v>586356936</v>
      </c>
    </row>
    <row r="138" spans="6:17" hidden="1" x14ac:dyDescent="0.3">
      <c r="F138" t="s">
        <v>18</v>
      </c>
      <c r="G138" t="s">
        <v>1357</v>
      </c>
      <c r="H138" t="s">
        <v>1351</v>
      </c>
      <c r="I138">
        <v>71005000</v>
      </c>
      <c r="J138" cm="1">
        <f t="array" ref="J138">INDEX(targets!C:C,
 MATCH(1,
  (targets!A:A='Data Olahan'!H100)*(targets!B:B=F138),
  0
 )
)</f>
        <v>489501094</v>
      </c>
      <c r="K138" s="5">
        <f t="shared" si="6"/>
        <v>0.14505585558507456</v>
      </c>
      <c r="L138" t="str">
        <f t="shared" si="7"/>
        <v>Not Achieved</v>
      </c>
      <c r="O138" t="s">
        <v>1352</v>
      </c>
      <c r="P138">
        <v>95485000</v>
      </c>
      <c r="Q138">
        <v>313993616</v>
      </c>
    </row>
    <row r="139" spans="6:17" x14ac:dyDescent="0.3">
      <c r="O139" t="s">
        <v>1353</v>
      </c>
      <c r="P139">
        <v>158010000</v>
      </c>
      <c r="Q139">
        <v>317407707</v>
      </c>
    </row>
    <row r="140" spans="6:17" x14ac:dyDescent="0.3">
      <c r="N140" t="s">
        <v>1360</v>
      </c>
      <c r="P140">
        <v>2122575000</v>
      </c>
      <c r="Q140">
        <v>5611781316</v>
      </c>
    </row>
    <row r="141" spans="6:17" x14ac:dyDescent="0.3">
      <c r="N141" t="s">
        <v>29</v>
      </c>
      <c r="O141" t="s">
        <v>1342</v>
      </c>
      <c r="P141">
        <v>150835000</v>
      </c>
      <c r="Q141">
        <v>327980786</v>
      </c>
    </row>
    <row r="142" spans="6:17" x14ac:dyDescent="0.3">
      <c r="O142" t="s">
        <v>1343</v>
      </c>
      <c r="P142">
        <v>189475000</v>
      </c>
      <c r="Q142">
        <v>426869098</v>
      </c>
    </row>
    <row r="143" spans="6:17" x14ac:dyDescent="0.3">
      <c r="O143" t="s">
        <v>1344</v>
      </c>
      <c r="P143">
        <v>104315000</v>
      </c>
      <c r="Q143">
        <v>306727352</v>
      </c>
    </row>
    <row r="144" spans="6:17" x14ac:dyDescent="0.3">
      <c r="O144" t="s">
        <v>1345</v>
      </c>
      <c r="P144">
        <v>100685000</v>
      </c>
      <c r="Q144">
        <v>373180748</v>
      </c>
    </row>
    <row r="145" spans="14:17" x14ac:dyDescent="0.3">
      <c r="O145" t="s">
        <v>1346</v>
      </c>
      <c r="P145">
        <v>101955000</v>
      </c>
      <c r="Q145">
        <v>481011760</v>
      </c>
    </row>
    <row r="146" spans="14:17" x14ac:dyDescent="0.3">
      <c r="O146" t="s">
        <v>1347</v>
      </c>
      <c r="P146">
        <v>266845000</v>
      </c>
      <c r="Q146">
        <v>533058667</v>
      </c>
    </row>
    <row r="147" spans="14:17" x14ac:dyDescent="0.3">
      <c r="O147" t="s">
        <v>1348</v>
      </c>
      <c r="P147">
        <v>206945000</v>
      </c>
      <c r="Q147">
        <v>373180748</v>
      </c>
    </row>
    <row r="148" spans="14:17" x14ac:dyDescent="0.3">
      <c r="O148" t="s">
        <v>1349</v>
      </c>
      <c r="P148">
        <v>191045000</v>
      </c>
      <c r="Q148">
        <v>445738123</v>
      </c>
    </row>
    <row r="149" spans="14:17" x14ac:dyDescent="0.3">
      <c r="O149" t="s">
        <v>1350</v>
      </c>
      <c r="P149">
        <v>150905000</v>
      </c>
      <c r="Q149">
        <v>445738123</v>
      </c>
    </row>
    <row r="150" spans="14:17" x14ac:dyDescent="0.3">
      <c r="O150" t="s">
        <v>1351</v>
      </c>
      <c r="P150">
        <v>149015000</v>
      </c>
      <c r="Q150">
        <v>373180748</v>
      </c>
    </row>
    <row r="151" spans="14:17" x14ac:dyDescent="0.3">
      <c r="O151" t="s">
        <v>1352</v>
      </c>
      <c r="P151">
        <v>168265000</v>
      </c>
      <c r="Q151">
        <v>377540700</v>
      </c>
    </row>
    <row r="152" spans="14:17" x14ac:dyDescent="0.3">
      <c r="O152" t="s">
        <v>1353</v>
      </c>
      <c r="P152">
        <v>148615000</v>
      </c>
      <c r="Q152">
        <v>533058667</v>
      </c>
    </row>
    <row r="153" spans="14:17" x14ac:dyDescent="0.3">
      <c r="N153" t="s">
        <v>1361</v>
      </c>
      <c r="P153">
        <v>1928900000</v>
      </c>
      <c r="Q153">
        <v>4997265520</v>
      </c>
    </row>
    <row r="154" spans="14:17" x14ac:dyDescent="0.3">
      <c r="N154" t="s">
        <v>13</v>
      </c>
      <c r="O154" t="s">
        <v>1342</v>
      </c>
      <c r="P154">
        <v>171660000</v>
      </c>
      <c r="Q154">
        <v>313079705</v>
      </c>
    </row>
    <row r="155" spans="14:17" x14ac:dyDescent="0.3">
      <c r="O155" t="s">
        <v>1343</v>
      </c>
      <c r="P155">
        <v>156230000</v>
      </c>
      <c r="Q155">
        <v>350125110</v>
      </c>
    </row>
    <row r="156" spans="14:17" x14ac:dyDescent="0.3">
      <c r="O156" t="s">
        <v>1344</v>
      </c>
      <c r="P156">
        <v>172980000</v>
      </c>
      <c r="Q156">
        <v>313079705</v>
      </c>
    </row>
    <row r="157" spans="14:17" x14ac:dyDescent="0.3">
      <c r="O157" t="s">
        <v>1345</v>
      </c>
      <c r="P157">
        <v>81770000</v>
      </c>
      <c r="Q157">
        <v>445304373</v>
      </c>
    </row>
    <row r="158" spans="14:17" x14ac:dyDescent="0.3">
      <c r="O158" t="s">
        <v>1346</v>
      </c>
      <c r="P158">
        <v>92620000</v>
      </c>
      <c r="Q158">
        <v>445304373</v>
      </c>
    </row>
    <row r="159" spans="14:17" x14ac:dyDescent="0.3">
      <c r="O159" t="s">
        <v>1347</v>
      </c>
      <c r="P159">
        <v>163760000</v>
      </c>
      <c r="Q159">
        <v>350125110</v>
      </c>
    </row>
    <row r="160" spans="14:17" x14ac:dyDescent="0.3">
      <c r="O160" t="s">
        <v>1348</v>
      </c>
      <c r="P160">
        <v>209330000</v>
      </c>
      <c r="Q160">
        <v>497321332</v>
      </c>
    </row>
    <row r="161" spans="14:17" x14ac:dyDescent="0.3">
      <c r="O161" t="s">
        <v>1349</v>
      </c>
      <c r="P161">
        <v>171540000</v>
      </c>
      <c r="Q161">
        <v>354735349</v>
      </c>
    </row>
    <row r="162" spans="14:17" x14ac:dyDescent="0.3">
      <c r="O162" t="s">
        <v>1350</v>
      </c>
      <c r="P162">
        <v>195540000</v>
      </c>
      <c r="Q162">
        <v>350125110</v>
      </c>
    </row>
    <row r="163" spans="14:17" x14ac:dyDescent="0.3">
      <c r="O163" t="s">
        <v>1351</v>
      </c>
      <c r="P163">
        <v>214270000</v>
      </c>
      <c r="Q163">
        <v>347981463</v>
      </c>
    </row>
    <row r="164" spans="14:17" x14ac:dyDescent="0.3">
      <c r="O164" t="s">
        <v>1352</v>
      </c>
      <c r="P164">
        <v>175595000</v>
      </c>
      <c r="Q164">
        <v>322869545</v>
      </c>
    </row>
    <row r="165" spans="14:17" x14ac:dyDescent="0.3">
      <c r="O165" t="s">
        <v>1353</v>
      </c>
      <c r="P165">
        <v>212735000</v>
      </c>
      <c r="Q165">
        <v>470253837</v>
      </c>
    </row>
    <row r="166" spans="14:17" x14ac:dyDescent="0.3">
      <c r="N166" t="s">
        <v>1362</v>
      </c>
      <c r="P166">
        <v>2018030000</v>
      </c>
      <c r="Q166">
        <v>4560305012</v>
      </c>
    </row>
    <row r="167" spans="14:17" x14ac:dyDescent="0.3">
      <c r="N167" t="s">
        <v>1356</v>
      </c>
      <c r="P167">
        <v>9802240000</v>
      </c>
      <c r="Q167">
        <v>26732641100</v>
      </c>
    </row>
    <row r="186" spans="3:13" x14ac:dyDescent="0.3">
      <c r="C186" s="2" t="s">
        <v>3</v>
      </c>
      <c r="D186" s="2" t="s">
        <v>1375</v>
      </c>
      <c r="E186" t="s">
        <v>1354</v>
      </c>
      <c r="G186" t="s">
        <v>3</v>
      </c>
      <c r="H186" t="s">
        <v>1376</v>
      </c>
      <c r="I186" t="s">
        <v>1377</v>
      </c>
      <c r="K186" t="s">
        <v>3</v>
      </c>
      <c r="L186" t="s">
        <v>1376</v>
      </c>
      <c r="M186" t="s">
        <v>1377</v>
      </c>
    </row>
    <row r="187" spans="3:13" x14ac:dyDescent="0.3">
      <c r="C187" t="s">
        <v>43</v>
      </c>
      <c r="E187" s="10">
        <v>74155000</v>
      </c>
      <c r="G187" t="s">
        <v>49</v>
      </c>
      <c r="H187">
        <v>308930000</v>
      </c>
      <c r="I187">
        <f t="shared" ref="I187:I218" si="8">RANK(H187, H:H, 0)</f>
        <v>1</v>
      </c>
      <c r="K187" t="s">
        <v>49</v>
      </c>
      <c r="L187">
        <v>308930000</v>
      </c>
      <c r="M187">
        <v>1</v>
      </c>
    </row>
    <row r="188" spans="3:13" x14ac:dyDescent="0.3">
      <c r="C188" t="s">
        <v>47</v>
      </c>
      <c r="E188" s="10">
        <v>57830000</v>
      </c>
      <c r="G188" t="s">
        <v>121</v>
      </c>
      <c r="H188">
        <v>274350000</v>
      </c>
      <c r="I188">
        <f t="shared" si="8"/>
        <v>2</v>
      </c>
      <c r="K188" t="s">
        <v>121</v>
      </c>
      <c r="L188">
        <v>274350000</v>
      </c>
      <c r="M188">
        <v>2</v>
      </c>
    </row>
    <row r="189" spans="3:13" x14ac:dyDescent="0.3">
      <c r="C189" t="s">
        <v>16</v>
      </c>
      <c r="E189" s="10">
        <v>41555000</v>
      </c>
      <c r="G189" t="s">
        <v>119</v>
      </c>
      <c r="H189">
        <v>271365000</v>
      </c>
      <c r="I189">
        <f t="shared" si="8"/>
        <v>3</v>
      </c>
      <c r="K189" t="s">
        <v>119</v>
      </c>
      <c r="L189">
        <v>271365000</v>
      </c>
      <c r="M189">
        <v>3</v>
      </c>
    </row>
    <row r="190" spans="3:13" x14ac:dyDescent="0.3">
      <c r="C190" t="s">
        <v>99</v>
      </c>
      <c r="E190" s="10">
        <v>71515000</v>
      </c>
      <c r="G190" t="s">
        <v>56</v>
      </c>
      <c r="H190">
        <v>263485000</v>
      </c>
      <c r="I190">
        <f t="shared" si="8"/>
        <v>4</v>
      </c>
      <c r="K190" t="s">
        <v>56</v>
      </c>
      <c r="L190">
        <v>263485000</v>
      </c>
      <c r="M190">
        <v>4</v>
      </c>
    </row>
    <row r="191" spans="3:13" x14ac:dyDescent="0.3">
      <c r="C191" t="s">
        <v>269</v>
      </c>
      <c r="E191" s="10">
        <v>26090000</v>
      </c>
      <c r="G191" t="s">
        <v>141</v>
      </c>
      <c r="H191">
        <v>256130000</v>
      </c>
      <c r="I191">
        <f t="shared" si="8"/>
        <v>5</v>
      </c>
      <c r="K191" t="s">
        <v>141</v>
      </c>
      <c r="L191">
        <v>256130000</v>
      </c>
      <c r="M191">
        <v>5</v>
      </c>
    </row>
    <row r="192" spans="3:13" x14ac:dyDescent="0.3">
      <c r="C192" t="s">
        <v>129</v>
      </c>
      <c r="E192" s="10">
        <v>5885000</v>
      </c>
      <c r="G192" t="s">
        <v>201</v>
      </c>
      <c r="H192">
        <v>250985000</v>
      </c>
      <c r="I192">
        <f t="shared" si="8"/>
        <v>6</v>
      </c>
    </row>
    <row r="193" spans="3:9" x14ac:dyDescent="0.3">
      <c r="C193" t="s">
        <v>25</v>
      </c>
      <c r="E193" s="10">
        <v>65020000</v>
      </c>
      <c r="G193" t="s">
        <v>65</v>
      </c>
      <c r="H193">
        <v>237020000</v>
      </c>
      <c r="I193">
        <f t="shared" si="8"/>
        <v>7</v>
      </c>
    </row>
    <row r="194" spans="3:9" x14ac:dyDescent="0.3">
      <c r="C194" t="s">
        <v>68</v>
      </c>
      <c r="E194" s="10">
        <v>48455000</v>
      </c>
      <c r="G194" t="s">
        <v>79</v>
      </c>
      <c r="H194">
        <v>236265000</v>
      </c>
      <c r="I194">
        <f t="shared" si="8"/>
        <v>8</v>
      </c>
    </row>
    <row r="195" spans="3:9" x14ac:dyDescent="0.3">
      <c r="C195" t="s">
        <v>93</v>
      </c>
      <c r="E195" s="10">
        <v>56650000</v>
      </c>
      <c r="G195" t="s">
        <v>136</v>
      </c>
      <c r="H195">
        <v>233050000</v>
      </c>
      <c r="I195">
        <f t="shared" si="8"/>
        <v>9</v>
      </c>
    </row>
    <row r="196" spans="3:9" x14ac:dyDescent="0.3">
      <c r="C196" t="s">
        <v>191</v>
      </c>
      <c r="E196" s="10">
        <v>47890000</v>
      </c>
      <c r="G196" t="s">
        <v>51</v>
      </c>
      <c r="H196">
        <v>231700000</v>
      </c>
      <c r="I196">
        <f t="shared" si="8"/>
        <v>10</v>
      </c>
    </row>
    <row r="197" spans="3:9" x14ac:dyDescent="0.3">
      <c r="C197" t="s">
        <v>59</v>
      </c>
      <c r="E197" s="10">
        <v>13800000</v>
      </c>
      <c r="G197" t="s">
        <v>68</v>
      </c>
      <c r="H197">
        <v>231085000</v>
      </c>
      <c r="I197">
        <f t="shared" si="8"/>
        <v>11</v>
      </c>
    </row>
    <row r="198" spans="3:9" x14ac:dyDescent="0.3">
      <c r="C198" t="s">
        <v>83</v>
      </c>
      <c r="E198" s="10">
        <v>81365000</v>
      </c>
      <c r="G198" t="s">
        <v>43</v>
      </c>
      <c r="H198">
        <v>230405000</v>
      </c>
      <c r="I198">
        <f t="shared" si="8"/>
        <v>12</v>
      </c>
    </row>
    <row r="199" spans="3:9" x14ac:dyDescent="0.3">
      <c r="C199" t="s">
        <v>54</v>
      </c>
      <c r="E199" s="10">
        <v>25605000</v>
      </c>
      <c r="G199" t="s">
        <v>47</v>
      </c>
      <c r="H199">
        <v>229775000</v>
      </c>
      <c r="I199">
        <f t="shared" si="8"/>
        <v>13</v>
      </c>
    </row>
    <row r="200" spans="3:9" x14ac:dyDescent="0.3">
      <c r="C200" t="s">
        <v>89</v>
      </c>
      <c r="E200" s="10">
        <v>44160000</v>
      </c>
      <c r="G200" t="s">
        <v>38</v>
      </c>
      <c r="H200">
        <v>229190000</v>
      </c>
      <c r="I200">
        <f t="shared" si="8"/>
        <v>14</v>
      </c>
    </row>
    <row r="201" spans="3:9" x14ac:dyDescent="0.3">
      <c r="C201" t="s">
        <v>56</v>
      </c>
      <c r="E201" s="10">
        <v>27625000</v>
      </c>
      <c r="G201" t="s">
        <v>104</v>
      </c>
      <c r="H201">
        <v>225975000</v>
      </c>
      <c r="I201">
        <f t="shared" si="8"/>
        <v>15</v>
      </c>
    </row>
    <row r="202" spans="3:9" x14ac:dyDescent="0.3">
      <c r="C202" t="s">
        <v>63</v>
      </c>
      <c r="E202" s="10">
        <v>42325000</v>
      </c>
      <c r="G202" t="s">
        <v>116</v>
      </c>
      <c r="H202">
        <v>221835000</v>
      </c>
      <c r="I202">
        <f t="shared" si="8"/>
        <v>16</v>
      </c>
    </row>
    <row r="203" spans="3:9" x14ac:dyDescent="0.3">
      <c r="C203" t="s">
        <v>305</v>
      </c>
      <c r="E203" s="10">
        <v>15235000</v>
      </c>
      <c r="G203" t="s">
        <v>152</v>
      </c>
      <c r="H203">
        <v>220725000</v>
      </c>
      <c r="I203">
        <f t="shared" si="8"/>
        <v>17</v>
      </c>
    </row>
    <row r="204" spans="3:9" x14ac:dyDescent="0.3">
      <c r="C204" t="s">
        <v>124</v>
      </c>
      <c r="E204" s="10">
        <v>28995000</v>
      </c>
      <c r="G204" t="s">
        <v>35</v>
      </c>
      <c r="H204">
        <v>220680000</v>
      </c>
      <c r="I204">
        <f t="shared" si="8"/>
        <v>18</v>
      </c>
    </row>
    <row r="205" spans="3:9" x14ac:dyDescent="0.3">
      <c r="C205" t="s">
        <v>31</v>
      </c>
      <c r="E205" s="10">
        <v>52570000</v>
      </c>
      <c r="G205" t="s">
        <v>59</v>
      </c>
      <c r="H205">
        <v>218115000</v>
      </c>
      <c r="I205">
        <f t="shared" si="8"/>
        <v>19</v>
      </c>
    </row>
    <row r="206" spans="3:9" x14ac:dyDescent="0.3">
      <c r="C206" t="s">
        <v>133</v>
      </c>
      <c r="E206" s="10">
        <v>46375000</v>
      </c>
      <c r="G206" t="s">
        <v>28</v>
      </c>
      <c r="H206">
        <v>215650000</v>
      </c>
      <c r="I206">
        <f t="shared" si="8"/>
        <v>20</v>
      </c>
    </row>
    <row r="207" spans="3:9" x14ac:dyDescent="0.3">
      <c r="C207" t="s">
        <v>61</v>
      </c>
      <c r="E207" s="10">
        <v>40280000</v>
      </c>
      <c r="G207" t="s">
        <v>20</v>
      </c>
      <c r="H207">
        <v>213435000</v>
      </c>
      <c r="I207">
        <f t="shared" si="8"/>
        <v>21</v>
      </c>
    </row>
    <row r="208" spans="3:9" x14ac:dyDescent="0.3">
      <c r="C208" t="s">
        <v>91</v>
      </c>
      <c r="E208" s="10">
        <v>26580000</v>
      </c>
      <c r="G208" t="s">
        <v>101</v>
      </c>
      <c r="H208">
        <v>209470000</v>
      </c>
      <c r="I208">
        <f t="shared" si="8"/>
        <v>22</v>
      </c>
    </row>
    <row r="209" spans="3:9" x14ac:dyDescent="0.3">
      <c r="C209" t="s">
        <v>110</v>
      </c>
      <c r="E209" s="10">
        <v>72140000</v>
      </c>
      <c r="G209" t="s">
        <v>89</v>
      </c>
      <c r="H209">
        <v>208365000</v>
      </c>
      <c r="I209">
        <f t="shared" si="8"/>
        <v>23</v>
      </c>
    </row>
    <row r="210" spans="3:9" x14ac:dyDescent="0.3">
      <c r="C210" t="s">
        <v>119</v>
      </c>
      <c r="E210" s="10">
        <v>26555000</v>
      </c>
      <c r="G210" t="s">
        <v>25</v>
      </c>
      <c r="H210">
        <v>207880000</v>
      </c>
      <c r="I210">
        <f t="shared" si="8"/>
        <v>24</v>
      </c>
    </row>
    <row r="211" spans="3:9" x14ac:dyDescent="0.3">
      <c r="C211" t="s">
        <v>79</v>
      </c>
      <c r="E211" s="10">
        <v>78370000</v>
      </c>
      <c r="G211" t="s">
        <v>31</v>
      </c>
      <c r="H211">
        <v>203955000</v>
      </c>
      <c r="I211">
        <f t="shared" si="8"/>
        <v>25</v>
      </c>
    </row>
    <row r="212" spans="3:9" x14ac:dyDescent="0.3">
      <c r="C212" t="s">
        <v>184</v>
      </c>
      <c r="E212" s="10">
        <v>14285000</v>
      </c>
      <c r="G212" t="s">
        <v>95</v>
      </c>
      <c r="H212">
        <v>202045000</v>
      </c>
      <c r="I212">
        <f t="shared" si="8"/>
        <v>26</v>
      </c>
    </row>
    <row r="213" spans="3:9" x14ac:dyDescent="0.3">
      <c r="C213" t="s">
        <v>116</v>
      </c>
      <c r="E213" s="10">
        <v>47410000</v>
      </c>
      <c r="G213" t="s">
        <v>93</v>
      </c>
      <c r="H213">
        <v>197470000</v>
      </c>
      <c r="I213">
        <f t="shared" si="8"/>
        <v>27</v>
      </c>
    </row>
    <row r="214" spans="3:9" x14ac:dyDescent="0.3">
      <c r="C214" t="s">
        <v>51</v>
      </c>
      <c r="E214" s="10">
        <v>24525000</v>
      </c>
      <c r="G214" t="s">
        <v>86</v>
      </c>
      <c r="H214">
        <v>191315000</v>
      </c>
      <c r="I214">
        <f t="shared" si="8"/>
        <v>28</v>
      </c>
    </row>
    <row r="215" spans="3:9" x14ac:dyDescent="0.3">
      <c r="C215" t="s">
        <v>45</v>
      </c>
      <c r="E215" s="10">
        <v>23080000</v>
      </c>
      <c r="G215" t="s">
        <v>83</v>
      </c>
      <c r="H215">
        <v>190140000</v>
      </c>
      <c r="I215">
        <f t="shared" si="8"/>
        <v>29</v>
      </c>
    </row>
    <row r="216" spans="3:9" x14ac:dyDescent="0.3">
      <c r="C216" t="s">
        <v>11</v>
      </c>
      <c r="E216" s="10">
        <v>52865000</v>
      </c>
      <c r="G216" t="s">
        <v>61</v>
      </c>
      <c r="H216">
        <v>188385000</v>
      </c>
      <c r="I216">
        <f t="shared" si="8"/>
        <v>30</v>
      </c>
    </row>
    <row r="217" spans="3:9" x14ac:dyDescent="0.3">
      <c r="C217" t="s">
        <v>86</v>
      </c>
      <c r="E217" s="10">
        <v>17500000</v>
      </c>
      <c r="G217" t="s">
        <v>99</v>
      </c>
      <c r="H217">
        <v>185500000</v>
      </c>
      <c r="I217">
        <f t="shared" si="8"/>
        <v>31</v>
      </c>
    </row>
    <row r="218" spans="3:9" x14ac:dyDescent="0.3">
      <c r="C218" t="s">
        <v>136</v>
      </c>
      <c r="E218" s="10">
        <v>29895000</v>
      </c>
      <c r="G218" t="s">
        <v>133</v>
      </c>
      <c r="H218">
        <v>183680000</v>
      </c>
      <c r="I218">
        <f t="shared" si="8"/>
        <v>32</v>
      </c>
    </row>
    <row r="219" spans="3:9" x14ac:dyDescent="0.3">
      <c r="C219" t="s">
        <v>141</v>
      </c>
      <c r="E219" s="10">
        <v>72920000</v>
      </c>
      <c r="G219" t="s">
        <v>11</v>
      </c>
      <c r="H219">
        <v>180400000</v>
      </c>
      <c r="I219">
        <f t="shared" ref="I219:I236" si="9">RANK(H219, H:H, 0)</f>
        <v>33</v>
      </c>
    </row>
    <row r="220" spans="3:9" x14ac:dyDescent="0.3">
      <c r="C220" t="s">
        <v>121</v>
      </c>
      <c r="E220" s="10">
        <v>41750000</v>
      </c>
      <c r="G220" t="s">
        <v>305</v>
      </c>
      <c r="H220">
        <v>177970000</v>
      </c>
      <c r="I220">
        <f t="shared" si="9"/>
        <v>34</v>
      </c>
    </row>
    <row r="221" spans="3:9" x14ac:dyDescent="0.3">
      <c r="C221" t="s">
        <v>71</v>
      </c>
      <c r="E221" s="10">
        <v>45995000</v>
      </c>
      <c r="G221" t="s">
        <v>71</v>
      </c>
      <c r="H221">
        <v>176960000</v>
      </c>
      <c r="I221">
        <f t="shared" si="9"/>
        <v>35</v>
      </c>
    </row>
    <row r="222" spans="3:9" x14ac:dyDescent="0.3">
      <c r="C222" t="s">
        <v>152</v>
      </c>
      <c r="E222" s="10">
        <v>72420000</v>
      </c>
      <c r="G222" t="s">
        <v>124</v>
      </c>
      <c r="H222">
        <v>162625000</v>
      </c>
      <c r="I222">
        <f t="shared" si="9"/>
        <v>36</v>
      </c>
    </row>
    <row r="223" spans="3:9" x14ac:dyDescent="0.3">
      <c r="C223" t="s">
        <v>101</v>
      </c>
      <c r="E223" s="10">
        <v>32910000</v>
      </c>
      <c r="G223" t="s">
        <v>110</v>
      </c>
      <c r="H223">
        <v>162380000</v>
      </c>
      <c r="I223">
        <f t="shared" si="9"/>
        <v>37</v>
      </c>
    </row>
    <row r="224" spans="3:9" x14ac:dyDescent="0.3">
      <c r="C224" t="s">
        <v>49</v>
      </c>
      <c r="E224" s="10">
        <v>44355000</v>
      </c>
      <c r="G224" t="s">
        <v>91</v>
      </c>
      <c r="H224">
        <v>162090000</v>
      </c>
      <c r="I224">
        <f t="shared" si="9"/>
        <v>38</v>
      </c>
    </row>
    <row r="225" spans="3:9" x14ac:dyDescent="0.3">
      <c r="C225" t="s">
        <v>28</v>
      </c>
      <c r="E225" s="10">
        <v>48310000</v>
      </c>
      <c r="G225" t="s">
        <v>81</v>
      </c>
      <c r="H225">
        <v>160440000</v>
      </c>
      <c r="I225">
        <f t="shared" si="9"/>
        <v>39</v>
      </c>
    </row>
    <row r="226" spans="3:9" x14ac:dyDescent="0.3">
      <c r="C226" t="s">
        <v>201</v>
      </c>
      <c r="E226" s="10">
        <v>52365000</v>
      </c>
      <c r="G226" t="s">
        <v>63</v>
      </c>
      <c r="H226">
        <v>156215000</v>
      </c>
      <c r="I226">
        <f t="shared" si="9"/>
        <v>40</v>
      </c>
    </row>
    <row r="227" spans="3:9" x14ac:dyDescent="0.3">
      <c r="C227" t="s">
        <v>65</v>
      </c>
      <c r="E227" s="10">
        <v>31545000</v>
      </c>
      <c r="G227" t="s">
        <v>16</v>
      </c>
      <c r="H227">
        <v>146555000</v>
      </c>
      <c r="I227">
        <f t="shared" si="9"/>
        <v>41</v>
      </c>
    </row>
    <row r="228" spans="3:9" x14ac:dyDescent="0.3">
      <c r="C228" t="s">
        <v>35</v>
      </c>
      <c r="E228" s="10">
        <v>32505000</v>
      </c>
      <c r="G228" t="s">
        <v>73</v>
      </c>
      <c r="H228">
        <v>145095000</v>
      </c>
      <c r="I228">
        <f t="shared" si="9"/>
        <v>42</v>
      </c>
    </row>
    <row r="229" spans="3:9" x14ac:dyDescent="0.3">
      <c r="C229" t="s">
        <v>95</v>
      </c>
      <c r="E229" s="10">
        <v>47465000</v>
      </c>
      <c r="G229" t="s">
        <v>40</v>
      </c>
      <c r="H229">
        <v>144440000</v>
      </c>
      <c r="I229">
        <f t="shared" si="9"/>
        <v>43</v>
      </c>
    </row>
    <row r="230" spans="3:9" x14ac:dyDescent="0.3">
      <c r="C230" t="s">
        <v>104</v>
      </c>
      <c r="E230" s="10">
        <v>30605000</v>
      </c>
      <c r="G230" t="s">
        <v>129</v>
      </c>
      <c r="H230">
        <v>144115000</v>
      </c>
      <c r="I230">
        <f t="shared" si="9"/>
        <v>44</v>
      </c>
    </row>
    <row r="231" spans="3:9" x14ac:dyDescent="0.3">
      <c r="C231" t="s">
        <v>73</v>
      </c>
      <c r="E231" s="10">
        <v>22705000</v>
      </c>
      <c r="G231" t="s">
        <v>54</v>
      </c>
      <c r="H231">
        <v>132565000</v>
      </c>
      <c r="I231">
        <f t="shared" si="9"/>
        <v>45</v>
      </c>
    </row>
    <row r="232" spans="3:9" x14ac:dyDescent="0.3">
      <c r="C232" t="s">
        <v>40</v>
      </c>
      <c r="E232" s="10">
        <v>38345000</v>
      </c>
      <c r="G232" t="s">
        <v>269</v>
      </c>
      <c r="H232">
        <v>128030000</v>
      </c>
      <c r="I232">
        <f t="shared" si="9"/>
        <v>46</v>
      </c>
    </row>
    <row r="233" spans="3:9" x14ac:dyDescent="0.3">
      <c r="C233" t="s">
        <v>20</v>
      </c>
      <c r="E233" s="10">
        <v>33195000</v>
      </c>
      <c r="G233" t="s">
        <v>191</v>
      </c>
      <c r="H233">
        <v>124995000</v>
      </c>
      <c r="I233">
        <f t="shared" si="9"/>
        <v>47</v>
      </c>
    </row>
    <row r="234" spans="3:9" x14ac:dyDescent="0.3">
      <c r="C234" t="s">
        <v>38</v>
      </c>
      <c r="E234" s="10">
        <v>88795000</v>
      </c>
      <c r="G234" t="s">
        <v>45</v>
      </c>
      <c r="H234">
        <v>120520000</v>
      </c>
      <c r="I234">
        <f t="shared" si="9"/>
        <v>48</v>
      </c>
    </row>
    <row r="235" spans="3:9" x14ac:dyDescent="0.3">
      <c r="C235" t="s">
        <v>1356</v>
      </c>
      <c r="E235" s="10">
        <v>2062770000</v>
      </c>
      <c r="G235" t="s">
        <v>251</v>
      </c>
      <c r="H235">
        <v>106980000</v>
      </c>
      <c r="I235">
        <f t="shared" si="9"/>
        <v>49</v>
      </c>
    </row>
    <row r="236" spans="3:9" x14ac:dyDescent="0.3">
      <c r="G236" t="s">
        <v>184</v>
      </c>
      <c r="H236">
        <v>81510000</v>
      </c>
      <c r="I236">
        <f t="shared" si="9"/>
        <v>50</v>
      </c>
    </row>
    <row r="245" spans="1:3" x14ac:dyDescent="0.3">
      <c r="A245" s="2" t="s">
        <v>1354</v>
      </c>
      <c r="B245" s="2" t="s">
        <v>1367</v>
      </c>
    </row>
    <row r="246" spans="1:3" x14ac:dyDescent="0.3">
      <c r="A246" s="2" t="s">
        <v>1355</v>
      </c>
      <c r="B246" t="s">
        <v>49</v>
      </c>
      <c r="C246" t="s">
        <v>1356</v>
      </c>
    </row>
    <row r="247" spans="1:3" x14ac:dyDescent="0.3">
      <c r="A247" s="3" t="s">
        <v>1342</v>
      </c>
      <c r="B247" s="10">
        <v>3960000</v>
      </c>
      <c r="C247" s="10">
        <v>3960000</v>
      </c>
    </row>
    <row r="248" spans="1:3" x14ac:dyDescent="0.3">
      <c r="A248" s="3" t="s">
        <v>1345</v>
      </c>
      <c r="B248" s="10">
        <v>1320000</v>
      </c>
      <c r="C248" s="10">
        <v>1320000</v>
      </c>
    </row>
    <row r="249" spans="1:3" x14ac:dyDescent="0.3">
      <c r="A249" s="3" t="s">
        <v>1350</v>
      </c>
      <c r="B249" s="10">
        <v>29865000</v>
      </c>
      <c r="C249" s="10">
        <v>29865000</v>
      </c>
    </row>
    <row r="250" spans="1:3" x14ac:dyDescent="0.3">
      <c r="A250" s="3" t="s">
        <v>1351</v>
      </c>
      <c r="B250" s="10">
        <v>7410000</v>
      </c>
      <c r="C250" s="10">
        <v>7410000</v>
      </c>
    </row>
    <row r="251" spans="1:3" x14ac:dyDescent="0.3">
      <c r="A251" s="3" t="s">
        <v>1352</v>
      </c>
      <c r="B251" s="10">
        <v>1800000</v>
      </c>
      <c r="C251" s="10">
        <v>1800000</v>
      </c>
    </row>
    <row r="252" spans="1:3" x14ac:dyDescent="0.3">
      <c r="A252" s="3" t="s">
        <v>1356</v>
      </c>
      <c r="B252" s="10">
        <v>44355000</v>
      </c>
      <c r="C252" s="10">
        <v>44355000</v>
      </c>
    </row>
    <row r="266" spans="1:5" x14ac:dyDescent="0.3">
      <c r="A266" s="2" t="s">
        <v>1355</v>
      </c>
      <c r="B266" t="s">
        <v>1354</v>
      </c>
      <c r="D266" s="2" t="s">
        <v>1355</v>
      </c>
      <c r="E266" t="s">
        <v>1385</v>
      </c>
    </row>
    <row r="267" spans="1:5" x14ac:dyDescent="0.3">
      <c r="A267" s="3" t="s">
        <v>1357</v>
      </c>
      <c r="B267" s="10"/>
      <c r="D267" s="3" t="s">
        <v>41</v>
      </c>
      <c r="E267" s="10">
        <v>2020</v>
      </c>
    </row>
    <row r="268" spans="1:5" x14ac:dyDescent="0.3">
      <c r="A268" s="4" t="s">
        <v>1342</v>
      </c>
      <c r="B268" s="10">
        <v>194220000</v>
      </c>
      <c r="D268" s="3" t="s">
        <v>57</v>
      </c>
      <c r="E268" s="10">
        <v>1954</v>
      </c>
    </row>
    <row r="269" spans="1:5" x14ac:dyDescent="0.3">
      <c r="A269" s="4" t="s">
        <v>1343</v>
      </c>
      <c r="B269" s="10">
        <v>128775000</v>
      </c>
      <c r="D269" s="3" t="s">
        <v>36</v>
      </c>
      <c r="E269" s="10">
        <v>4304</v>
      </c>
    </row>
    <row r="270" spans="1:5" x14ac:dyDescent="0.3">
      <c r="A270" s="4" t="s">
        <v>1344</v>
      </c>
      <c r="B270" s="10">
        <v>101630000</v>
      </c>
      <c r="D270" s="3" t="s">
        <v>17</v>
      </c>
      <c r="E270" s="10">
        <v>3417</v>
      </c>
    </row>
    <row r="271" spans="1:5" x14ac:dyDescent="0.3">
      <c r="A271" s="4" t="s">
        <v>1345</v>
      </c>
      <c r="B271" s="10">
        <v>178305000</v>
      </c>
      <c r="D271" s="3" t="s">
        <v>32</v>
      </c>
      <c r="E271" s="10">
        <v>4093</v>
      </c>
    </row>
    <row r="272" spans="1:5" x14ac:dyDescent="0.3">
      <c r="A272" s="4" t="s">
        <v>1346</v>
      </c>
      <c r="B272" s="10">
        <v>267675000</v>
      </c>
      <c r="D272" s="3" t="s">
        <v>26</v>
      </c>
      <c r="E272" s="10">
        <v>3509</v>
      </c>
    </row>
    <row r="273" spans="1:5" x14ac:dyDescent="0.3">
      <c r="A273" s="4" t="s">
        <v>1347</v>
      </c>
      <c r="B273" s="10">
        <v>206910000</v>
      </c>
      <c r="D273" s="3" t="s">
        <v>21</v>
      </c>
      <c r="E273" s="10">
        <v>4802</v>
      </c>
    </row>
    <row r="274" spans="1:5" x14ac:dyDescent="0.3">
      <c r="A274" s="4" t="s">
        <v>1348</v>
      </c>
      <c r="B274" s="10">
        <v>191425000</v>
      </c>
      <c r="D274" s="3" t="s">
        <v>12</v>
      </c>
      <c r="E274" s="10">
        <v>1732</v>
      </c>
    </row>
    <row r="275" spans="1:5" x14ac:dyDescent="0.3">
      <c r="A275" s="4" t="s">
        <v>1349</v>
      </c>
      <c r="B275" s="10">
        <v>183880000</v>
      </c>
      <c r="D275" s="3" t="s">
        <v>1356</v>
      </c>
      <c r="E275" s="10">
        <v>25831</v>
      </c>
    </row>
    <row r="276" spans="1:5" x14ac:dyDescent="0.3">
      <c r="A276" s="4" t="s">
        <v>1350</v>
      </c>
      <c r="B276" s="10">
        <v>253445000</v>
      </c>
    </row>
    <row r="277" spans="1:5" x14ac:dyDescent="0.3">
      <c r="A277" s="4" t="s">
        <v>1351</v>
      </c>
      <c r="B277" s="10">
        <v>71005000</v>
      </c>
    </row>
    <row r="278" spans="1:5" x14ac:dyDescent="0.3">
      <c r="A278" s="4" t="s">
        <v>1352</v>
      </c>
      <c r="B278" s="10">
        <v>172350000</v>
      </c>
    </row>
    <row r="279" spans="1:5" x14ac:dyDescent="0.3">
      <c r="A279" s="4" t="s">
        <v>1353</v>
      </c>
      <c r="B279" s="10">
        <v>113150000</v>
      </c>
    </row>
    <row r="280" spans="1:5" x14ac:dyDescent="0.3">
      <c r="A280" s="3" t="s">
        <v>1356</v>
      </c>
      <c r="B280" s="10">
        <v>2062770000</v>
      </c>
    </row>
    <row r="289" spans="1:5" x14ac:dyDescent="0.3">
      <c r="A289" s="2" t="s">
        <v>1355</v>
      </c>
      <c r="B289" t="s">
        <v>1387</v>
      </c>
      <c r="D289" s="2" t="s">
        <v>1355</v>
      </c>
      <c r="E289" t="s">
        <v>1371</v>
      </c>
    </row>
    <row r="290" spans="1:5" x14ac:dyDescent="0.3">
      <c r="A290" s="3" t="s">
        <v>43</v>
      </c>
      <c r="B290" s="10">
        <v>1</v>
      </c>
      <c r="D290" s="3" t="s">
        <v>33</v>
      </c>
      <c r="E290" s="6">
        <v>0.29891723693598521</v>
      </c>
    </row>
    <row r="291" spans="1:5" x14ac:dyDescent="0.3">
      <c r="A291" s="3" t="s">
        <v>47</v>
      </c>
      <c r="B291" s="10">
        <v>1</v>
      </c>
      <c r="D291" s="3" t="s">
        <v>18</v>
      </c>
      <c r="E291" s="6">
        <v>0.35685703466771335</v>
      </c>
    </row>
    <row r="292" spans="1:5" x14ac:dyDescent="0.3">
      <c r="A292" s="3" t="s">
        <v>16</v>
      </c>
      <c r="B292" s="10">
        <v>1</v>
      </c>
      <c r="D292" s="3" t="s">
        <v>22</v>
      </c>
      <c r="E292" s="6">
        <v>0.39727790907177324</v>
      </c>
    </row>
    <row r="293" spans="1:5" x14ac:dyDescent="0.3">
      <c r="A293" s="3" t="s">
        <v>99</v>
      </c>
      <c r="B293" s="10">
        <v>1</v>
      </c>
      <c r="D293" s="3" t="s">
        <v>29</v>
      </c>
      <c r="E293" s="6">
        <v>0.38930814621979981</v>
      </c>
    </row>
    <row r="294" spans="1:5" x14ac:dyDescent="0.3">
      <c r="A294" s="3" t="s">
        <v>269</v>
      </c>
      <c r="B294" s="10">
        <v>1</v>
      </c>
      <c r="D294" s="3" t="s">
        <v>13</v>
      </c>
      <c r="E294" s="6">
        <v>0.45677674656538936</v>
      </c>
    </row>
    <row r="295" spans="1:5" x14ac:dyDescent="0.3">
      <c r="A295" s="3" t="s">
        <v>129</v>
      </c>
      <c r="B295" s="10">
        <v>1</v>
      </c>
      <c r="D295" s="3" t="s">
        <v>1356</v>
      </c>
      <c r="E295" s="6">
        <v>0.3798274146921321</v>
      </c>
    </row>
    <row r="296" spans="1:5" x14ac:dyDescent="0.3">
      <c r="A296" s="3" t="s">
        <v>25</v>
      </c>
      <c r="B296" s="10">
        <v>1</v>
      </c>
    </row>
    <row r="297" spans="1:5" x14ac:dyDescent="0.3">
      <c r="A297" s="3" t="s">
        <v>68</v>
      </c>
      <c r="B297" s="10">
        <v>1</v>
      </c>
    </row>
    <row r="298" spans="1:5" x14ac:dyDescent="0.3">
      <c r="A298" s="3" t="s">
        <v>93</v>
      </c>
      <c r="B298" s="10">
        <v>1</v>
      </c>
    </row>
    <row r="299" spans="1:5" x14ac:dyDescent="0.3">
      <c r="A299" s="3" t="s">
        <v>191</v>
      </c>
      <c r="B299" s="10">
        <v>1</v>
      </c>
    </row>
    <row r="300" spans="1:5" x14ac:dyDescent="0.3">
      <c r="A300" s="3" t="s">
        <v>59</v>
      </c>
      <c r="B300" s="10">
        <v>1</v>
      </c>
    </row>
    <row r="301" spans="1:5" x14ac:dyDescent="0.3">
      <c r="A301" s="3" t="s">
        <v>83</v>
      </c>
      <c r="B301" s="10">
        <v>1</v>
      </c>
    </row>
    <row r="302" spans="1:5" x14ac:dyDescent="0.3">
      <c r="A302" s="3" t="s">
        <v>54</v>
      </c>
      <c r="B302" s="10">
        <v>1</v>
      </c>
    </row>
    <row r="303" spans="1:5" x14ac:dyDescent="0.3">
      <c r="A303" s="3" t="s">
        <v>89</v>
      </c>
      <c r="B303" s="10">
        <v>1</v>
      </c>
    </row>
    <row r="304" spans="1:5" x14ac:dyDescent="0.3">
      <c r="A304" s="3" t="s">
        <v>56</v>
      </c>
      <c r="B304" s="10">
        <v>1</v>
      </c>
    </row>
    <row r="305" spans="1:2" x14ac:dyDescent="0.3">
      <c r="A305" s="3" t="s">
        <v>63</v>
      </c>
      <c r="B305" s="10">
        <v>1</v>
      </c>
    </row>
    <row r="306" spans="1:2" x14ac:dyDescent="0.3">
      <c r="A306" s="3" t="s">
        <v>305</v>
      </c>
      <c r="B306" s="10">
        <v>1</v>
      </c>
    </row>
    <row r="307" spans="1:2" x14ac:dyDescent="0.3">
      <c r="A307" s="3" t="s">
        <v>124</v>
      </c>
      <c r="B307" s="10">
        <v>1</v>
      </c>
    </row>
    <row r="308" spans="1:2" x14ac:dyDescent="0.3">
      <c r="A308" s="3" t="s">
        <v>31</v>
      </c>
      <c r="B308" s="10">
        <v>1</v>
      </c>
    </row>
    <row r="309" spans="1:2" x14ac:dyDescent="0.3">
      <c r="A309" s="3" t="s">
        <v>133</v>
      </c>
      <c r="B309" s="10">
        <v>1</v>
      </c>
    </row>
    <row r="310" spans="1:2" x14ac:dyDescent="0.3">
      <c r="A310" s="3" t="s">
        <v>61</v>
      </c>
      <c r="B310" s="10">
        <v>1</v>
      </c>
    </row>
    <row r="311" spans="1:2" x14ac:dyDescent="0.3">
      <c r="A311" s="3" t="s">
        <v>91</v>
      </c>
      <c r="B311" s="10">
        <v>1</v>
      </c>
    </row>
    <row r="312" spans="1:2" x14ac:dyDescent="0.3">
      <c r="A312" s="3" t="s">
        <v>110</v>
      </c>
      <c r="B312" s="10">
        <v>1</v>
      </c>
    </row>
    <row r="313" spans="1:2" x14ac:dyDescent="0.3">
      <c r="A313" s="3" t="s">
        <v>119</v>
      </c>
      <c r="B313" s="10">
        <v>1</v>
      </c>
    </row>
    <row r="314" spans="1:2" x14ac:dyDescent="0.3">
      <c r="A314" s="3" t="s">
        <v>79</v>
      </c>
      <c r="B314" s="10">
        <v>1</v>
      </c>
    </row>
    <row r="315" spans="1:2" x14ac:dyDescent="0.3">
      <c r="A315" s="3" t="s">
        <v>81</v>
      </c>
      <c r="B315" s="10">
        <v>1</v>
      </c>
    </row>
    <row r="316" spans="1:2" x14ac:dyDescent="0.3">
      <c r="A316" s="3" t="s">
        <v>184</v>
      </c>
      <c r="B316" s="10">
        <v>1</v>
      </c>
    </row>
    <row r="317" spans="1:2" x14ac:dyDescent="0.3">
      <c r="A317" s="3" t="s">
        <v>116</v>
      </c>
      <c r="B317" s="10">
        <v>1</v>
      </c>
    </row>
    <row r="318" spans="1:2" x14ac:dyDescent="0.3">
      <c r="A318" s="3" t="s">
        <v>51</v>
      </c>
      <c r="B318" s="10">
        <v>1</v>
      </c>
    </row>
    <row r="319" spans="1:2" x14ac:dyDescent="0.3">
      <c r="A319" s="3" t="s">
        <v>45</v>
      </c>
      <c r="B319" s="10">
        <v>1</v>
      </c>
    </row>
    <row r="320" spans="1:2" x14ac:dyDescent="0.3">
      <c r="A320" s="3" t="s">
        <v>11</v>
      </c>
      <c r="B320" s="10">
        <v>1</v>
      </c>
    </row>
    <row r="321" spans="1:2" x14ac:dyDescent="0.3">
      <c r="A321" s="3" t="s">
        <v>86</v>
      </c>
      <c r="B321" s="10">
        <v>1</v>
      </c>
    </row>
    <row r="322" spans="1:2" x14ac:dyDescent="0.3">
      <c r="A322" s="3" t="s">
        <v>136</v>
      </c>
      <c r="B322" s="10">
        <v>1</v>
      </c>
    </row>
    <row r="323" spans="1:2" x14ac:dyDescent="0.3">
      <c r="A323" s="3" t="s">
        <v>141</v>
      </c>
      <c r="B323" s="10">
        <v>1</v>
      </c>
    </row>
    <row r="324" spans="1:2" x14ac:dyDescent="0.3">
      <c r="A324" s="3" t="s">
        <v>121</v>
      </c>
      <c r="B324" s="10">
        <v>1</v>
      </c>
    </row>
    <row r="325" spans="1:2" x14ac:dyDescent="0.3">
      <c r="A325" s="3" t="s">
        <v>71</v>
      </c>
      <c r="B325" s="10">
        <v>1</v>
      </c>
    </row>
    <row r="326" spans="1:2" x14ac:dyDescent="0.3">
      <c r="A326" s="3" t="s">
        <v>152</v>
      </c>
      <c r="B326" s="10">
        <v>1</v>
      </c>
    </row>
    <row r="327" spans="1:2" x14ac:dyDescent="0.3">
      <c r="A327" s="3" t="s">
        <v>101</v>
      </c>
      <c r="B327" s="10">
        <v>1</v>
      </c>
    </row>
    <row r="328" spans="1:2" x14ac:dyDescent="0.3">
      <c r="A328" s="3" t="s">
        <v>49</v>
      </c>
      <c r="B328" s="10">
        <v>1</v>
      </c>
    </row>
    <row r="329" spans="1:2" x14ac:dyDescent="0.3">
      <c r="A329" s="3" t="s">
        <v>28</v>
      </c>
      <c r="B329" s="10">
        <v>1</v>
      </c>
    </row>
    <row r="330" spans="1:2" x14ac:dyDescent="0.3">
      <c r="A330" s="3" t="s">
        <v>251</v>
      </c>
      <c r="B330" s="10">
        <v>1</v>
      </c>
    </row>
    <row r="331" spans="1:2" x14ac:dyDescent="0.3">
      <c r="A331" s="3" t="s">
        <v>201</v>
      </c>
      <c r="B331" s="10">
        <v>1</v>
      </c>
    </row>
    <row r="332" spans="1:2" x14ac:dyDescent="0.3">
      <c r="A332" s="3" t="s">
        <v>65</v>
      </c>
      <c r="B332" s="10">
        <v>1</v>
      </c>
    </row>
    <row r="333" spans="1:2" x14ac:dyDescent="0.3">
      <c r="A333" s="3" t="s">
        <v>35</v>
      </c>
      <c r="B333" s="10">
        <v>1</v>
      </c>
    </row>
    <row r="334" spans="1:2" x14ac:dyDescent="0.3">
      <c r="A334" s="3" t="s">
        <v>95</v>
      </c>
      <c r="B334" s="10">
        <v>1</v>
      </c>
    </row>
    <row r="335" spans="1:2" x14ac:dyDescent="0.3">
      <c r="A335" s="3" t="s">
        <v>104</v>
      </c>
      <c r="B335" s="10">
        <v>1</v>
      </c>
    </row>
    <row r="336" spans="1:2" x14ac:dyDescent="0.3">
      <c r="A336" s="3" t="s">
        <v>73</v>
      </c>
      <c r="B336" s="10">
        <v>1</v>
      </c>
    </row>
    <row r="337" spans="1:2" x14ac:dyDescent="0.3">
      <c r="A337" s="3" t="s">
        <v>40</v>
      </c>
      <c r="B337" s="10">
        <v>1</v>
      </c>
    </row>
    <row r="338" spans="1:2" x14ac:dyDescent="0.3">
      <c r="A338" s="3" t="s">
        <v>20</v>
      </c>
      <c r="B338" s="10">
        <v>1</v>
      </c>
    </row>
    <row r="339" spans="1:2" x14ac:dyDescent="0.3">
      <c r="A339" s="3" t="s">
        <v>38</v>
      </c>
      <c r="B339" s="10">
        <v>1</v>
      </c>
    </row>
    <row r="340" spans="1:2" x14ac:dyDescent="0.3">
      <c r="A340" s="3" t="s">
        <v>1356</v>
      </c>
      <c r="B340" s="10">
        <v>50</v>
      </c>
    </row>
  </sheetData>
  <phoneticPr fontId="1" type="noConversion"/>
  <pageMargins left="0.7" right="0.7" top="0.75" bottom="0.75" header="0.3" footer="0.3"/>
  <drawing r:id="rId15"/>
  <tableParts count="3">
    <tablePart r:id="rId16"/>
    <tablePart r:id="rId17"/>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B4FF-41A7-4D70-A228-982CE117B043}">
  <dimension ref="A1:C12"/>
  <sheetViews>
    <sheetView workbookViewId="0">
      <selection activeCell="M28" sqref="M28"/>
    </sheetView>
  </sheetViews>
  <sheetFormatPr defaultRowHeight="14.4" x14ac:dyDescent="0.3"/>
  <cols>
    <col min="3" max="3" width="10.5546875" bestFit="1" customWidth="1"/>
  </cols>
  <sheetData>
    <row r="1" spans="1:3" x14ac:dyDescent="0.3">
      <c r="A1" t="s">
        <v>1342</v>
      </c>
      <c r="B1">
        <v>899795000</v>
      </c>
      <c r="C1" s="8">
        <f>DATE(2025, ROW(A1), 1)</f>
        <v>45658</v>
      </c>
    </row>
    <row r="2" spans="1:3" x14ac:dyDescent="0.3">
      <c r="A2" t="s">
        <v>1343</v>
      </c>
      <c r="B2">
        <v>764885000</v>
      </c>
      <c r="C2" s="8">
        <f t="shared" ref="C2:C12" si="0">DATE(2025, ROW(A2), 1)</f>
        <v>45689</v>
      </c>
    </row>
    <row r="3" spans="1:3" x14ac:dyDescent="0.3">
      <c r="A3" t="s">
        <v>1344</v>
      </c>
      <c r="B3">
        <v>660070000</v>
      </c>
      <c r="C3" s="8">
        <f t="shared" si="0"/>
        <v>45717</v>
      </c>
    </row>
    <row r="4" spans="1:3" x14ac:dyDescent="0.3">
      <c r="A4" t="s">
        <v>1345</v>
      </c>
      <c r="B4">
        <v>711610000</v>
      </c>
      <c r="C4" s="8">
        <f t="shared" si="0"/>
        <v>45748</v>
      </c>
    </row>
    <row r="5" spans="1:3" x14ac:dyDescent="0.3">
      <c r="A5" t="s">
        <v>1346</v>
      </c>
      <c r="B5">
        <v>894380000</v>
      </c>
      <c r="C5" s="8">
        <f t="shared" si="0"/>
        <v>45778</v>
      </c>
    </row>
    <row r="6" spans="1:3" x14ac:dyDescent="0.3">
      <c r="A6" t="s">
        <v>1347</v>
      </c>
      <c r="B6">
        <v>874765000</v>
      </c>
      <c r="C6" s="8">
        <f t="shared" si="0"/>
        <v>45809</v>
      </c>
    </row>
    <row r="7" spans="1:3" x14ac:dyDescent="0.3">
      <c r="A7" t="s">
        <v>1348</v>
      </c>
      <c r="B7">
        <v>995215000</v>
      </c>
      <c r="C7" s="8">
        <f t="shared" si="0"/>
        <v>45839</v>
      </c>
    </row>
    <row r="8" spans="1:3" x14ac:dyDescent="0.3">
      <c r="A8" t="s">
        <v>1349</v>
      </c>
      <c r="B8">
        <v>742930000</v>
      </c>
      <c r="C8" s="8">
        <f t="shared" si="0"/>
        <v>45870</v>
      </c>
    </row>
    <row r="9" spans="1:3" x14ac:dyDescent="0.3">
      <c r="A9" t="s">
        <v>1350</v>
      </c>
      <c r="B9">
        <v>916915000</v>
      </c>
      <c r="C9" s="8">
        <f t="shared" si="0"/>
        <v>45901</v>
      </c>
    </row>
    <row r="10" spans="1:3" x14ac:dyDescent="0.3">
      <c r="A10" t="s">
        <v>1351</v>
      </c>
      <c r="B10">
        <v>791625000</v>
      </c>
      <c r="C10" s="8">
        <f t="shared" si="0"/>
        <v>45931</v>
      </c>
    </row>
    <row r="11" spans="1:3" x14ac:dyDescent="0.3">
      <c r="A11" t="s">
        <v>1352</v>
      </c>
      <c r="B11">
        <v>740695000</v>
      </c>
      <c r="C11" s="8">
        <f t="shared" si="0"/>
        <v>45962</v>
      </c>
    </row>
    <row r="12" spans="1:3" x14ac:dyDescent="0.3">
      <c r="A12" t="s">
        <v>1353</v>
      </c>
      <c r="B12">
        <v>809355000</v>
      </c>
      <c r="C12" s="8">
        <f t="shared" si="0"/>
        <v>45992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9775-4FA6-43BA-BE28-548C71756560}">
  <dimension ref="A1:E17"/>
  <sheetViews>
    <sheetView workbookViewId="0">
      <selection sqref="A1:E17"/>
    </sheetView>
  </sheetViews>
  <sheetFormatPr defaultRowHeight="14.4" x14ac:dyDescent="0.3"/>
  <cols>
    <col min="1" max="1" width="10.5546875" bestFit="1" customWidth="1"/>
    <col min="2" max="3" width="10" bestFit="1" customWidth="1"/>
    <col min="4" max="4" width="24" customWidth="1"/>
    <col min="5" max="5" width="24.109375" customWidth="1"/>
  </cols>
  <sheetData>
    <row r="1" spans="1:5" x14ac:dyDescent="0.3">
      <c r="A1" t="s">
        <v>1378</v>
      </c>
      <c r="B1" t="s">
        <v>1379</v>
      </c>
      <c r="C1" t="s">
        <v>1380</v>
      </c>
      <c r="D1" t="s">
        <v>1381</v>
      </c>
      <c r="E1" t="s">
        <v>1382</v>
      </c>
    </row>
    <row r="2" spans="1:5" x14ac:dyDescent="0.3">
      <c r="A2" s="8">
        <v>45658</v>
      </c>
      <c r="B2">
        <v>899795000</v>
      </c>
    </row>
    <row r="3" spans="1:5" x14ac:dyDescent="0.3">
      <c r="A3" s="8">
        <v>45689</v>
      </c>
      <c r="B3">
        <v>764885000</v>
      </c>
    </row>
    <row r="4" spans="1:5" x14ac:dyDescent="0.3">
      <c r="A4" s="8">
        <v>45717</v>
      </c>
      <c r="B4">
        <v>660070000</v>
      </c>
    </row>
    <row r="5" spans="1:5" x14ac:dyDescent="0.3">
      <c r="A5" s="8">
        <v>45748</v>
      </c>
      <c r="B5">
        <v>711610000</v>
      </c>
    </row>
    <row r="6" spans="1:5" x14ac:dyDescent="0.3">
      <c r="A6" s="8">
        <v>45778</v>
      </c>
      <c r="B6">
        <v>894380000</v>
      </c>
    </row>
    <row r="7" spans="1:5" x14ac:dyDescent="0.3">
      <c r="A7" s="8">
        <v>45809</v>
      </c>
      <c r="B7">
        <v>874765000</v>
      </c>
    </row>
    <row r="8" spans="1:5" x14ac:dyDescent="0.3">
      <c r="A8" s="8">
        <v>45839</v>
      </c>
      <c r="B8">
        <v>995215000</v>
      </c>
    </row>
    <row r="9" spans="1:5" x14ac:dyDescent="0.3">
      <c r="A9" s="8">
        <v>45870</v>
      </c>
      <c r="B9">
        <v>742930000</v>
      </c>
    </row>
    <row r="10" spans="1:5" x14ac:dyDescent="0.3">
      <c r="A10" s="8">
        <v>45901</v>
      </c>
      <c r="B10">
        <v>916915000</v>
      </c>
    </row>
    <row r="11" spans="1:5" x14ac:dyDescent="0.3">
      <c r="A11" s="8">
        <v>45931</v>
      </c>
      <c r="B11">
        <v>791625000</v>
      </c>
    </row>
    <row r="12" spans="1:5" x14ac:dyDescent="0.3">
      <c r="A12" s="8">
        <v>45962</v>
      </c>
      <c r="B12">
        <v>740695000</v>
      </c>
    </row>
    <row r="13" spans="1:5" x14ac:dyDescent="0.3">
      <c r="A13" s="8">
        <v>45992</v>
      </c>
      <c r="B13">
        <v>809355000</v>
      </c>
      <c r="C13">
        <v>809355000</v>
      </c>
      <c r="D13" s="9">
        <v>809355000</v>
      </c>
      <c r="E13" s="9">
        <v>809355000</v>
      </c>
    </row>
    <row r="14" spans="1:5" x14ac:dyDescent="0.3">
      <c r="A14" s="8">
        <v>46023</v>
      </c>
      <c r="C14">
        <f>_xlfn.FORECAST.ETS(A14,$B$2:$B$13,$A$2:$A$13,1,1)</f>
        <v>819057836.23944581</v>
      </c>
      <c r="D14" s="9">
        <f>C14-_xlfn.FORECAST.ETS.CONFINT(A14,$B$2:$B$13,$A$2:$A$13,0.95,1,1)</f>
        <v>598305948.48283279</v>
      </c>
      <c r="E14" s="9">
        <f>C14+_xlfn.FORECAST.ETS.CONFINT(A14,$B$2:$B$13,$A$2:$A$13,0.95,1,1)</f>
        <v>1039809723.9960588</v>
      </c>
    </row>
    <row r="15" spans="1:5" x14ac:dyDescent="0.3">
      <c r="A15" s="8">
        <v>46054</v>
      </c>
      <c r="C15">
        <f>_xlfn.FORECAST.ETS(A15,$B$2:$B$13,$A$2:$A$13,1,1)</f>
        <v>820082178.98965764</v>
      </c>
      <c r="D15" s="9">
        <f>C15-_xlfn.FORECAST.ETS.CONFINT(A15,$B$2:$B$13,$A$2:$A$13,0.95,1,1)</f>
        <v>592482700.46601284</v>
      </c>
      <c r="E15" s="9">
        <f>C15+_xlfn.FORECAST.ETS.CONFINT(A15,$B$2:$B$13,$A$2:$A$13,0.95,1,1)</f>
        <v>1047681657.5133024</v>
      </c>
    </row>
    <row r="16" spans="1:5" x14ac:dyDescent="0.3">
      <c r="A16" s="8">
        <v>46082</v>
      </c>
      <c r="C16">
        <f>_xlfn.FORECAST.ETS(A16,$B$2:$B$13,$A$2:$A$13,1,1)</f>
        <v>821106521.73986959</v>
      </c>
      <c r="D16" s="9">
        <f>C16-_xlfn.FORECAST.ETS.CONFINT(A16,$B$2:$B$13,$A$2:$A$13,0.95,1,1)</f>
        <v>586807223.42140746</v>
      </c>
      <c r="E16" s="9">
        <f>C16+_xlfn.FORECAST.ETS.CONFINT(A16,$B$2:$B$13,$A$2:$A$13,0.95,1,1)</f>
        <v>1055405820.0583317</v>
      </c>
    </row>
    <row r="17" spans="1:5" x14ac:dyDescent="0.3">
      <c r="A17" s="8">
        <v>46112</v>
      </c>
      <c r="C17">
        <f>_xlfn.FORECAST.ETS(A17,$B$2:$B$13,$A$2:$A$13,1,1)</f>
        <v>822097821.17555857</v>
      </c>
      <c r="D17" s="9">
        <f>C17-_xlfn.FORECAST.ETS.CONFINT(A17,$B$2:$B$13,$A$2:$A$13,0.95,1,1)</f>
        <v>581442905.9649682</v>
      </c>
      <c r="E17" s="9">
        <f>C17+_xlfn.FORECAST.ETS.CONFINT(A17,$B$2:$B$13,$A$2:$A$13,0.95,1,1)</f>
        <v>1062752736.3861489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A45EB-6E12-45C6-84C4-FC34E30280D3}">
  <dimension ref="A6:S94"/>
  <sheetViews>
    <sheetView showGridLines="0" showRowColHeaders="0" tabSelected="1" topLeftCell="A35" zoomScale="45" zoomScaleNormal="60" workbookViewId="0">
      <selection activeCell="K2" sqref="K2"/>
    </sheetView>
  </sheetViews>
  <sheetFormatPr defaultRowHeight="14.4" x14ac:dyDescent="0.3"/>
  <cols>
    <col min="1" max="1" width="16.88671875" bestFit="1" customWidth="1"/>
    <col min="15" max="15" width="13" customWidth="1"/>
    <col min="16" max="16" width="15.5546875" customWidth="1"/>
    <col min="17" max="17" width="34.21875" customWidth="1"/>
    <col min="18" max="18" width="47.21875" customWidth="1"/>
    <col min="19" max="19" width="32.44140625" customWidth="1"/>
    <col min="20" max="20" width="13" customWidth="1"/>
  </cols>
  <sheetData>
    <row r="6" spans="1:1" ht="18" x14ac:dyDescent="0.35">
      <c r="A6" s="11" t="s">
        <v>1383</v>
      </c>
    </row>
    <row r="7" spans="1:1" ht="23.4" x14ac:dyDescent="0.45">
      <c r="A7" s="12">
        <f>GETPIVOTDATA("Total",'Data Olahan'!$A$266)</f>
        <v>2062770000</v>
      </c>
    </row>
    <row r="16" spans="1:1" ht="18" x14ac:dyDescent="0.35">
      <c r="A16" s="11" t="s">
        <v>1384</v>
      </c>
    </row>
    <row r="17" spans="1:1" ht="23.4" x14ac:dyDescent="0.45">
      <c r="A17" s="12">
        <f>GETPIVOTDATA("Qty",'Data Olahan'!$D$266)</f>
        <v>25831</v>
      </c>
    </row>
    <row r="25" spans="1:1" ht="18" x14ac:dyDescent="0.35">
      <c r="A25" s="11" t="s">
        <v>1386</v>
      </c>
    </row>
    <row r="26" spans="1:1" ht="23.4" x14ac:dyDescent="0.45">
      <c r="A26" s="12">
        <f>GETPIVOTDATA("[Measures].[Distinct Count of Customer]",'Data Olahan'!$A$289)</f>
        <v>50</v>
      </c>
    </row>
    <row r="33" spans="1:1" ht="18" x14ac:dyDescent="0.35">
      <c r="A33" s="11" t="s">
        <v>1388</v>
      </c>
    </row>
    <row r="34" spans="1:1" ht="23.4" x14ac:dyDescent="0.45">
      <c r="A34" s="13">
        <f>GETPIVOTDATA("Achievement",'Data Olahan'!$D$289)</f>
        <v>0.3798274146921321</v>
      </c>
    </row>
    <row r="50" spans="16:17" x14ac:dyDescent="0.3">
      <c r="P50" s="2" t="s">
        <v>1355</v>
      </c>
      <c r="Q50" t="s">
        <v>1371</v>
      </c>
    </row>
    <row r="51" spans="16:17" x14ac:dyDescent="0.3">
      <c r="P51" s="3" t="s">
        <v>13</v>
      </c>
      <c r="Q51" s="6">
        <v>0.45677674656538936</v>
      </c>
    </row>
    <row r="52" spans="16:17" x14ac:dyDescent="0.3">
      <c r="P52" s="3" t="s">
        <v>22</v>
      </c>
      <c r="Q52" s="6">
        <v>0.39727790907177324</v>
      </c>
    </row>
    <row r="53" spans="16:17" x14ac:dyDescent="0.3">
      <c r="P53" s="3" t="s">
        <v>29</v>
      </c>
      <c r="Q53" s="6">
        <v>0.38930814621979981</v>
      </c>
    </row>
    <row r="54" spans="16:17" x14ac:dyDescent="0.3">
      <c r="P54" s="3" t="s">
        <v>18</v>
      </c>
      <c r="Q54" s="6">
        <v>0.35685703466771335</v>
      </c>
    </row>
    <row r="55" spans="16:17" x14ac:dyDescent="0.3">
      <c r="P55" s="3" t="s">
        <v>33</v>
      </c>
      <c r="Q55" s="6">
        <v>0.29891723693598521</v>
      </c>
    </row>
    <row r="56" spans="16:17" x14ac:dyDescent="0.3">
      <c r="P56" s="3" t="s">
        <v>1356</v>
      </c>
      <c r="Q56" s="6">
        <v>0.3798274146921321</v>
      </c>
    </row>
    <row r="78" spans="15:19" x14ac:dyDescent="0.3">
      <c r="O78" t="s">
        <v>1378</v>
      </c>
      <c r="P78" t="s">
        <v>1379</v>
      </c>
      <c r="Q78" t="s">
        <v>1380</v>
      </c>
      <c r="R78" t="s">
        <v>1381</v>
      </c>
      <c r="S78" t="s">
        <v>1382</v>
      </c>
    </row>
    <row r="79" spans="15:19" x14ac:dyDescent="0.3">
      <c r="O79">
        <v>45658</v>
      </c>
      <c r="P79">
        <v>899795000</v>
      </c>
    </row>
    <row r="80" spans="15:19" x14ac:dyDescent="0.3">
      <c r="O80">
        <v>45689</v>
      </c>
      <c r="P80">
        <v>764885000</v>
      </c>
    </row>
    <row r="81" spans="15:19" x14ac:dyDescent="0.3">
      <c r="O81">
        <v>45717</v>
      </c>
      <c r="P81">
        <v>660070000</v>
      </c>
    </row>
    <row r="82" spans="15:19" x14ac:dyDescent="0.3">
      <c r="O82">
        <v>45748</v>
      </c>
      <c r="P82">
        <v>711610000</v>
      </c>
    </row>
    <row r="83" spans="15:19" x14ac:dyDescent="0.3">
      <c r="O83">
        <v>45778</v>
      </c>
      <c r="P83">
        <v>894380000</v>
      </c>
    </row>
    <row r="84" spans="15:19" x14ac:dyDescent="0.3">
      <c r="O84">
        <v>45809</v>
      </c>
      <c r="P84">
        <v>874765000</v>
      </c>
    </row>
    <row r="85" spans="15:19" x14ac:dyDescent="0.3">
      <c r="O85">
        <v>45839</v>
      </c>
      <c r="P85">
        <v>995215000</v>
      </c>
    </row>
    <row r="86" spans="15:19" x14ac:dyDescent="0.3">
      <c r="O86">
        <v>45870</v>
      </c>
      <c r="P86">
        <v>742930000</v>
      </c>
    </row>
    <row r="87" spans="15:19" x14ac:dyDescent="0.3">
      <c r="O87">
        <v>45901</v>
      </c>
      <c r="P87">
        <v>916915000</v>
      </c>
    </row>
    <row r="88" spans="15:19" x14ac:dyDescent="0.3">
      <c r="O88">
        <v>45931</v>
      </c>
      <c r="P88">
        <v>791625000</v>
      </c>
    </row>
    <row r="89" spans="15:19" x14ac:dyDescent="0.3">
      <c r="O89">
        <v>45962</v>
      </c>
      <c r="P89">
        <v>740695000</v>
      </c>
    </row>
    <row r="90" spans="15:19" x14ac:dyDescent="0.3">
      <c r="O90">
        <v>45992</v>
      </c>
      <c r="P90">
        <v>809355000</v>
      </c>
      <c r="Q90">
        <v>809355000</v>
      </c>
      <c r="R90">
        <v>809355000</v>
      </c>
      <c r="S90">
        <v>809355000</v>
      </c>
    </row>
    <row r="91" spans="15:19" x14ac:dyDescent="0.3">
      <c r="O91">
        <v>46023</v>
      </c>
      <c r="Q91">
        <v>819057836.23944581</v>
      </c>
      <c r="R91">
        <v>598305948.48283279</v>
      </c>
      <c r="S91">
        <v>1039809723.9960588</v>
      </c>
    </row>
    <row r="92" spans="15:19" x14ac:dyDescent="0.3">
      <c r="O92">
        <v>46054</v>
      </c>
      <c r="Q92">
        <v>820082178.98965764</v>
      </c>
      <c r="R92">
        <v>592482700.46601284</v>
      </c>
      <c r="S92">
        <v>1047681657.5133024</v>
      </c>
    </row>
    <row r="93" spans="15:19" x14ac:dyDescent="0.3">
      <c r="O93">
        <v>46082</v>
      </c>
      <c r="Q93">
        <v>821106521.73986959</v>
      </c>
      <c r="R93">
        <v>586807223.42140746</v>
      </c>
      <c r="S93">
        <v>1055405820.0583317</v>
      </c>
    </row>
    <row r="94" spans="15:19" x14ac:dyDescent="0.3">
      <c r="O94">
        <v>46112</v>
      </c>
      <c r="Q94">
        <v>822097821.17555857</v>
      </c>
      <c r="R94">
        <v>581442905.9649682</v>
      </c>
      <c r="S94">
        <v>1062752736.3861489</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sales_raw</vt:lpstr>
      <vt:lpstr>targets</vt:lpstr>
      <vt:lpstr>products</vt:lpstr>
      <vt:lpstr>customers</vt:lpstr>
      <vt:lpstr>Data Olahan</vt:lpstr>
      <vt:lpstr>Data Mentah Forecast</vt:lpstr>
      <vt:lpstr>Forecast </vt:lpstr>
      <vt:lpstr>Dashboard Performa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Elvin Josafat Silaban</cp:lastModifiedBy>
  <dcterms:created xsi:type="dcterms:W3CDTF">2026-02-03T15:57:57Z</dcterms:created>
  <dcterms:modified xsi:type="dcterms:W3CDTF">2026-02-05T12:07:34Z</dcterms:modified>
</cp:coreProperties>
</file>